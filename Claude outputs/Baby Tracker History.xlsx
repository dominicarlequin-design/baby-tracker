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tor Summary" sheetId="1" state="visible" r:id="rId3"/>
    <sheet name="Daily Summary" sheetId="2" state="visible" r:id="rId4"/>
    <sheet name="Weekly Summary" sheetId="3" state="visible" r:id="rId5"/>
    <sheet name="Raw Log" sheetId="4" state="visible" r:id="rId6"/>
    <sheet name="Sleep Detail" sheetId="5" state="visible" r:id="rId7"/>
    <sheet name="Data Notes" sheetId="6" state="visible" r:id="rId8"/>
  </sheets>
  <definedNames>
    <definedName function="false" hidden="true" localSheetId="1" name="_xlnm._FilterDatabase" vbProcedure="false">'Daily Summary'!$A$4:$R$70</definedName>
    <definedName function="false" hidden="false" localSheetId="0" name="_xlnm.Print_Area" vbProcedure="false">'Doctor Summary'!$A$1:$N$30</definedName>
    <definedName function="false" hidden="true" localSheetId="3" name="_xlnm._FilterDatabase" vbProcedure="false">'Raw Log'!$A$4:$F$1538</definedName>
    <definedName function="false" hidden="true" localSheetId="4" name="_xlnm._FilterDatabase" vbProcedure="false">'Sleep Detail'!$A$4:$F$285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"No" = a partial day (tracking started mid-day, or today still in progress). You can change any row to "No" to leave it out of averages.</t>
        </r>
      </text>
    </comment>
  </commentList>
</comments>
</file>

<file path=xl/sharedStrings.xml><?xml version="1.0" encoding="utf-8"?>
<sst xmlns="http://schemas.openxmlformats.org/spreadsheetml/2006/main" count="2337" uniqueCount="112">
  <si>
    <t xml:space="preserve">Baby Tracker: Pediatrician Summary</t>
  </si>
  <si>
    <t xml:space="preserve">Averages per day from the baby tracker app. Full days only; days run 4 AM to 4 AM.</t>
  </si>
  <si>
    <t xml:space="preserve">Birth date</t>
  </si>
  <si>
    <t xml:space="preserve">From the app's Profile; edit if needed</t>
  </si>
  <si>
    <t xml:space="preserve">Report date (last full day)</t>
  </si>
  <si>
    <t xml:space="preserve">Age on report date</t>
  </si>
  <si>
    <t xml:space="preserve">Tracking since</t>
  </si>
  <si>
    <t xml:space="preserve">Per day (average)</t>
  </si>
  <si>
    <t xml:space="preserve">Last 7 days</t>
  </si>
  <si>
    <t xml:space="preserve">Previous 7 days</t>
  </si>
  <si>
    <t xml:space="preserve">Change</t>
  </si>
  <si>
    <t xml:space="preserve">Feeds</t>
  </si>
  <si>
    <t xml:space="preserve">Ounces</t>
  </si>
  <si>
    <t xml:space="preserve">Ounces per feed</t>
  </si>
  <si>
    <t xml:space="preserve">Wet diapers</t>
  </si>
  <si>
    <t xml:space="preserve">Dirty diapers</t>
  </si>
  <si>
    <t xml:space="preserve">Naps</t>
  </si>
  <si>
    <t xml:space="preserve">Nap hours</t>
  </si>
  <si>
    <t xml:space="preserve">Night sleep hours</t>
  </si>
  <si>
    <t xml:space="preserve">Total sleep hours</t>
  </si>
  <si>
    <t xml:space="preserve">Bedtime</t>
  </si>
  <si>
    <t xml:space="preserve">Wake-up</t>
  </si>
  <si>
    <t xml:space="preserve">Medicine doses</t>
  </si>
  <si>
    <t xml:space="preserve">Diapers: wet = pee or both, dirty = poop or both. Ounces were first logged on Aug 25, so earlier days show no ounces. Sleep is paired from start/end taps; see Data Notes for anything left out.</t>
  </si>
  <si>
    <t xml:space="preserve">Daily Summary</t>
  </si>
  <si>
    <t xml:space="preserve">One row per baby day (4 AM to 4 AM). Bedtime and the next morning's wake-up belong to the day she went to bed. Yellow rows are partial days and are left out of weekly and doctor averages.</t>
  </si>
  <si>
    <t xml:space="preserve">Date</t>
  </si>
  <si>
    <t xml:space="preserve">Week of</t>
  </si>
  <si>
    <t xml:space="preserve">Include in averages</t>
  </si>
  <si>
    <t xml:space="preserve">Feeds with oz logged</t>
  </si>
  <si>
    <t xml:space="preserve">Total oz</t>
  </si>
  <si>
    <t xml:space="preserve">Avg oz per feed</t>
  </si>
  <si>
    <t xml:space="preserve">Total diapers</t>
  </si>
  <si>
    <t xml:space="preserve">Diaper type not logged</t>
  </si>
  <si>
    <t xml:space="preserve">Woke up (next morning)</t>
  </si>
  <si>
    <t xml:space="preserve">Night sleep (hrs)</t>
  </si>
  <si>
    <t xml:space="preserve">Total sleep (hrs)</t>
  </si>
  <si>
    <t xml:space="preserve">Bedtime (hrs after noon)</t>
  </si>
  <si>
    <t xml:space="preserve">Wake time of day</t>
  </si>
  <si>
    <t xml:space="preserve">No</t>
  </si>
  <si>
    <t xml:space="preserve">Yes</t>
  </si>
  <si>
    <t xml:space="preserve">Weekly Summary</t>
  </si>
  <si>
    <t xml:space="preserve">Weeks run Monday to Sunday. Averages are per day and use only full days ("Include" = Yes on Daily Summary).</t>
  </si>
  <si>
    <t xml:space="preserve">Days counted</t>
  </si>
  <si>
    <t xml:space="preserve">Feeds / day</t>
  </si>
  <si>
    <t xml:space="preserve">Oz / day</t>
  </si>
  <si>
    <t xml:space="preserve">Oz per feed</t>
  </si>
  <si>
    <t xml:space="preserve">Wet diapers / day</t>
  </si>
  <si>
    <t xml:space="preserve">Dirty diapers / day</t>
  </si>
  <si>
    <t xml:space="preserve">Naps / day</t>
  </si>
  <si>
    <t xml:space="preserve">Nap hrs / day</t>
  </si>
  <si>
    <t xml:space="preserve">Night sleep hrs</t>
  </si>
  <si>
    <t xml:space="preserve">Total sleep hrs / day</t>
  </si>
  <si>
    <t xml:space="preserve">Avg bedtime</t>
  </si>
  <si>
    <t xml:space="preserve">Avg wake-up</t>
  </si>
  <si>
    <t xml:space="preserve">Oz / day vs prior week</t>
  </si>
  <si>
    <t xml:space="preserve">Total sleep vs prior week (hrs)</t>
  </si>
  <si>
    <t xml:space="preserve">Aug 10</t>
  </si>
  <si>
    <t xml:space="preserve">Aug 17</t>
  </si>
  <si>
    <t xml:space="preserve">Aug 24</t>
  </si>
  <si>
    <t xml:space="preserve">Aug 31</t>
  </si>
  <si>
    <t xml:space="preserve">Sep 7</t>
  </si>
  <si>
    <t xml:space="preserve">Sep 14</t>
  </si>
  <si>
    <t xml:space="preserve">Sep 21</t>
  </si>
  <si>
    <t xml:space="preserve">Sep 28</t>
  </si>
  <si>
    <t xml:space="preserve">Oct 5</t>
  </si>
  <si>
    <t xml:space="preserve">Oct 12</t>
  </si>
  <si>
    <t xml:space="preserve">Raw Log</t>
  </si>
  <si>
    <t xml:space="preserve">Every event logged in the app, in New York time. Baby day = the day it counts toward (days run 4 AM to 4 AM).</t>
  </si>
  <si>
    <t xml:space="preserve">Date &amp; time</t>
  </si>
  <si>
    <t xml:space="preserve">Event</t>
  </si>
  <si>
    <t xml:space="preserve">Diaper type</t>
  </si>
  <si>
    <t xml:space="preserve">Note</t>
  </si>
  <si>
    <t xml:space="preserve">Baby day</t>
  </si>
  <si>
    <t xml:space="preserve">Diaper</t>
  </si>
  <si>
    <t xml:space="preserve">Medicine</t>
  </si>
  <si>
    <t xml:space="preserve">4pm dose given late</t>
  </si>
  <si>
    <t xml:space="preserve">Feed</t>
  </si>
  <si>
    <t xml:space="preserve">seed</t>
  </si>
  <si>
    <t xml:space="preserve">Wake up</t>
  </si>
  <si>
    <t xml:space="preserve">Nap start</t>
  </si>
  <si>
    <t xml:space="preserve">Nap end</t>
  </si>
  <si>
    <t xml:space="preserve">Pee</t>
  </si>
  <si>
    <t xml:space="preserve">Both</t>
  </si>
  <si>
    <t xml:space="preserve">Poop</t>
  </si>
  <si>
    <t xml:space="preserve">Sleep Detail</t>
  </si>
  <si>
    <t xml:space="preserve">Every nap and night, paired from the start and end taps. "Awake before" = time awake since the previous sleep ended.</t>
  </si>
  <si>
    <t xml:space="preserve">Type</t>
  </si>
  <si>
    <t xml:space="preserve">Fell asleep</t>
  </si>
  <si>
    <t xml:space="preserve">Woke up</t>
  </si>
  <si>
    <t xml:space="preserve">Length (hrs)</t>
  </si>
  <si>
    <t xml:space="preserve">Awake before (hrs)</t>
  </si>
  <si>
    <t xml:space="preserve">Night</t>
  </si>
  <si>
    <t xml:space="preserve">Nap</t>
  </si>
  <si>
    <t xml:space="preserve">Data Notes</t>
  </si>
  <si>
    <t xml:space="preserve">Exported from the baby tracker app on Oct 18, 2026: 1534 events, Aug 11 to Oct 18, 2026 (New York time).</t>
  </si>
  <si>
    <t xml:space="preserve">Baby day: runs 4 AM to 4 AM, so a midnight feed or a 12:30 AM bedtime counts toward the evening before.</t>
  </si>
  <si>
    <t xml:space="preserve">Night sleep: paired Bedtime -&gt; Wake up. If she dozed off in a nap and was moved to bed, the nap ends at bedtime.</t>
  </si>
  <si>
    <t xml:space="preserve">Partial days (Aug 14, first day of tracking; Oct 18, still in progress) are shown in yellow and left out of averages.</t>
  </si>
  <si>
    <t xml:space="preserve">Ounces: logged from Aug 25 onward. "Avg oz per feed" only uses feeds that have ounces.</t>
  </si>
  <si>
    <t xml:space="preserve">Wet/dirty: diaper type was logged from Aug 24 onward; days with no diaper types show blank, not zero.</t>
  </si>
  <si>
    <t xml:space="preserve">Birth date (Doctor Summary, blue cell) comes from the app's Profile. Edit it there if it changes.</t>
  </si>
  <si>
    <t xml:space="preserve">Below: taps that were left out of the sleep totals, and why.</t>
  </si>
  <si>
    <t xml:space="preserve">When</t>
  </si>
  <si>
    <t xml:space="preserve">Tap</t>
  </si>
  <si>
    <t xml:space="preserve">What happened</t>
  </si>
  <si>
    <t xml:space="preserve">No matching bedtime logged (or a repeat tap): ignored</t>
  </si>
  <si>
    <t xml:space="preserve">No matching nap start: ignored</t>
  </si>
  <si>
    <t xml:space="preserve">No nap end logged before the next nap started: left out of sleep totals</t>
  </si>
  <si>
    <t xml:space="preserve">Second bedtime tap within an hour: kept the first one</t>
  </si>
  <si>
    <t xml:space="preserve">Repeat tap within 15 min of the previous nap start: ignored</t>
  </si>
  <si>
    <t xml:space="preserve">Bedtime with no wake-up before a later bedtime (likely a mis-tap): replaced by the later one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</si>
</sst>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"/>
    <numFmt numFmtId="166" formatCode="mmm\ d&quot;, &quot;yyyy"/>
    <numFmt numFmtId="167" formatCode="0.0"/>
    <numFmt numFmtId="168" formatCode="\+0.0;\-0.0;0.0"/>
    <numFmt numFmtId="169" formatCode="h:mm\ AM/PM"/>
    <numFmt numFmtId="170" formatCode="ddd\ mmm\ d"/>
    <numFmt numFmtId="171" formatCode="mmm\ d"/>
    <numFmt numFmtId="172" formatCode="ddd\ mmm\ d&quot;, &quot;h:mm\ AM/P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A3A5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3A55"/>
        <bgColor rgb="FF333399"/>
      </patternFill>
    </fill>
    <fill>
      <patternFill patternType="solid">
        <fgColor rgb="FFF7F2F6"/>
        <bgColor rgb="FFFFFFFF"/>
      </patternFill>
    </fill>
    <fill>
      <patternFill patternType="solid">
        <fgColor rgb="FFFFF4D6"/>
        <bgColor rgb="FFF7F2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A3A55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F2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D6"/>
      <rgbColor rgb="FFF7F2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Ounces per day, weekly average (from Aug 31)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Summary'!$P$8:$P$14</c:f>
              <c:strCache>
                <c:ptCount val="7"/>
                <c:pt idx="0">
                  <c:v>Aug 31</c:v>
                </c:pt>
                <c:pt idx="1">
                  <c:v>Sep 7</c:v>
                </c:pt>
                <c:pt idx="2">
                  <c:v>Sep 14</c:v>
                </c:pt>
                <c:pt idx="3">
                  <c:v>Sep 21</c:v>
                </c:pt>
                <c:pt idx="4">
                  <c:v>Sep 28</c:v>
                </c:pt>
                <c:pt idx="5">
                  <c:v>Oct 5</c:v>
                </c:pt>
                <c:pt idx="6">
                  <c:v>Oct 12</c:v>
                </c:pt>
              </c:strCache>
            </c:strRef>
          </c:cat>
          <c:val>
            <c:numRef>
              <c:f>'Weekly Summary'!$D$8:$D$14</c:f>
              <c:numCache>
                <c:formatCode>0.0</c:formatCode>
                <c:ptCount val="7"/>
                <c:pt idx="0">
                  <c:v>25.1428571428571</c:v>
                </c:pt>
                <c:pt idx="1">
                  <c:v>27.7142857142857</c:v>
                </c:pt>
                <c:pt idx="2">
                  <c:v>29.7142857142857</c:v>
                </c:pt>
                <c:pt idx="3">
                  <c:v>28</c:v>
                </c:pt>
                <c:pt idx="4">
                  <c:v>28.1428571428571</c:v>
                </c:pt>
                <c:pt idx="5">
                  <c:v>29.4285714285714</c:v>
                </c:pt>
                <c:pt idx="6">
                  <c:v>29.1666666666667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841725"/>
        <c:axId val="59910920"/>
      </c:lineChart>
      <c:catAx>
        <c:axId val="858417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of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10920"/>
        <c:crosses val="autoZero"/>
        <c:auto val="1"/>
        <c:lblAlgn val="ctr"/>
        <c:lblOffset val="100"/>
        <c:noMultiLvlLbl val="0"/>
      </c:catAx>
      <c:valAx>
        <c:axId val="59910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41725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sleep per day, weekly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Summary'!$P$5:$P$14</c:f>
              <c:strCache>
                <c:ptCount val="10"/>
                <c:pt idx="0">
                  <c:v>Aug 10</c:v>
                </c:pt>
                <c:pt idx="1">
                  <c:v>Aug 17</c:v>
                </c:pt>
                <c:pt idx="2">
                  <c:v>Aug 24</c:v>
                </c:pt>
                <c:pt idx="3">
                  <c:v>Aug 31</c:v>
                </c:pt>
                <c:pt idx="4">
                  <c:v>Sep 7</c:v>
                </c:pt>
                <c:pt idx="5">
                  <c:v>Sep 14</c:v>
                </c:pt>
                <c:pt idx="6">
                  <c:v>Sep 21</c:v>
                </c:pt>
                <c:pt idx="7">
                  <c:v>Sep 28</c:v>
                </c:pt>
                <c:pt idx="8">
                  <c:v>Oct 5</c:v>
                </c:pt>
                <c:pt idx="9">
                  <c:v>Oct 12</c:v>
                </c:pt>
              </c:strCache>
            </c:strRef>
          </c:cat>
          <c:val>
            <c:numRef>
              <c:f>'Weekly Summary'!$K$5:$K$14</c:f>
              <c:numCache>
                <c:formatCode>0.0</c:formatCode>
                <c:ptCount val="10"/>
                <c:pt idx="0">
                  <c:v>9.19166666666667</c:v>
                </c:pt>
                <c:pt idx="1">
                  <c:v>8.71000000003328</c:v>
                </c:pt>
                <c:pt idx="2">
                  <c:v>9.70714285712564</c:v>
                </c:pt>
                <c:pt idx="3">
                  <c:v>10.0047619046903</c:v>
                </c:pt>
                <c:pt idx="4">
                  <c:v>9.98809523803421</c:v>
                </c:pt>
                <c:pt idx="5">
                  <c:v>9.37380952387603</c:v>
                </c:pt>
                <c:pt idx="6">
                  <c:v>10.3694444444955</c:v>
                </c:pt>
                <c:pt idx="7">
                  <c:v>10.0976190476572</c:v>
                </c:pt>
                <c:pt idx="8">
                  <c:v>10.8428571429474</c:v>
                </c:pt>
                <c:pt idx="9">
                  <c:v>10.2416666665689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98133"/>
        <c:axId val="79363966"/>
      </c:lineChart>
      <c:catAx>
        <c:axId val="27981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of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63966"/>
        <c:crosses val="autoZero"/>
        <c:auto val="1"/>
        <c:lblAlgn val="ctr"/>
        <c:lblOffset val="100"/>
        <c:noMultiLvlLbl val="0"/>
      </c:catAx>
      <c:valAx>
        <c:axId val="79363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8133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14</xdr:col>
      <xdr:colOff>255960</xdr:colOff>
      <xdr:row>14</xdr:row>
      <xdr:rowOff>173880</xdr:rowOff>
    </xdr:to>
    <xdr:graphicFrame>
      <xdr:nvGraphicFramePr>
        <xdr:cNvPr id="0" name="Chart 1"/>
        <xdr:cNvGraphicFramePr/>
      </xdr:nvGraphicFramePr>
      <xdr:xfrm>
        <a:off x="6109200" y="380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131040</xdr:rowOff>
    </xdr:from>
    <xdr:to>
      <xdr:col>14</xdr:col>
      <xdr:colOff>255960</xdr:colOff>
      <xdr:row>29</xdr:row>
      <xdr:rowOff>173880</xdr:rowOff>
    </xdr:to>
    <xdr:graphicFrame>
      <xdr:nvGraphicFramePr>
        <xdr:cNvPr id="1" name="Chart 2"/>
        <xdr:cNvGraphicFramePr/>
      </xdr:nvGraphicFramePr>
      <xdr:xfrm>
        <a:off x="6109200" y="3238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true" outlineLevel="0" max="26" min="26" style="0" width="13"/>
  </cols>
  <sheetData>
    <row r="1" customFormat="false" ht="19.7" hidden="false" customHeight="false" outlineLevel="0" collapsed="false">
      <c r="A1" s="1" t="s">
        <v>0</v>
      </c>
      <c r="Z1" s="2" t="n">
        <f aca="false">B5-6</f>
        <v>46306</v>
      </c>
    </row>
    <row r="2" customFormat="false" ht="15" hidden="false" customHeight="false" outlineLevel="0" collapsed="false">
      <c r="A2" s="3" t="s">
        <v>1</v>
      </c>
      <c r="Z2" s="4" t="n">
        <f aca="false">B5</f>
        <v>46312</v>
      </c>
    </row>
    <row r="4" customFormat="false" ht="15" hidden="false" customHeight="false" outlineLevel="0" collapsed="false">
      <c r="A4" s="5" t="s">
        <v>2</v>
      </c>
      <c r="B4" s="6" t="n">
        <v>46121</v>
      </c>
      <c r="C4" s="3" t="s">
        <v>3</v>
      </c>
    </row>
    <row r="5" customFormat="false" ht="15" hidden="false" customHeight="false" outlineLevel="0" collapsed="false">
      <c r="A5" s="5" t="s">
        <v>4</v>
      </c>
      <c r="B5" s="7" t="n">
        <f aca="false">_xlfn.MAXIFS('Daily Summary'!$A$5:$A$70,'Daily Summary'!$C$5:$C$70,"Yes")</f>
        <v>46312</v>
      </c>
    </row>
    <row r="6" customFormat="false" ht="15" hidden="false" customHeight="false" outlineLevel="0" collapsed="false">
      <c r="A6" s="5" t="s">
        <v>5</v>
      </c>
      <c r="B6" s="8" t="str">
        <f aca="false">DATEDIF(B4,B5,"m")&amp;" months, "&amp;(B5-EDATE(B4,DATEDIF(B4,B5,"m")))&amp;" days"</f>
        <v>6 months, 8 days</v>
      </c>
    </row>
    <row r="7" customFormat="false" ht="15" hidden="false" customHeight="false" outlineLevel="0" collapsed="false">
      <c r="A7" s="5" t="s">
        <v>6</v>
      </c>
      <c r="B7" s="7" t="n">
        <f aca="false">MIN('Daily Summary'!$A$5:$A$70)</f>
        <v>46248</v>
      </c>
    </row>
    <row r="9" customFormat="false" ht="15" hidden="false" customHeight="false" outlineLevel="0" collapsed="false">
      <c r="A9" s="9" t="str">
        <f aca="false">"Last 7 days = "&amp;TEXT(Z1,"mmm d")&amp;" to "&amp;TEXT(Z2,"mmm d")&amp;".   Previous 7 days = "&amp;TEXT(Z1-7,"mmm d")&amp;" to "&amp;TEXT(Z1-1,"mmm d")&amp;"."</f>
        <v>Last 7 days = Oct 11 to Oct 17.   Previous 7 days = Oct 4 to Oct 10.</v>
      </c>
      <c r="B9" s="9"/>
      <c r="C9" s="9"/>
      <c r="D9" s="9"/>
    </row>
    <row r="10" customFormat="false" ht="15" hidden="false" customHeight="false" outlineLevel="0" collapsed="false">
      <c r="A10" s="10" t="s">
        <v>7</v>
      </c>
      <c r="B10" s="10" t="s">
        <v>8</v>
      </c>
      <c r="C10" s="10" t="s">
        <v>9</v>
      </c>
      <c r="D10" s="10" t="s">
        <v>10</v>
      </c>
    </row>
    <row r="11" customFormat="false" ht="15" hidden="false" customHeight="false" outlineLevel="0" collapsed="false">
      <c r="A11" s="5" t="s">
        <v>11</v>
      </c>
      <c r="B11" s="11" t="n">
        <f aca="false">IFERROR(AVERAGEIFS('Daily Summary'!$D$5:$D$70,'Daily Summary'!$A$5:$A$70,"&gt;="&amp;$Z$1,'Daily Summary'!$A$5:$A$70,"&lt;="&amp;$Z$2,'Daily Summary'!$C$5:$C$70,"Yes"),"")</f>
        <v>5.71428571428571</v>
      </c>
      <c r="C11" s="11" t="n">
        <f aca="false">IFERROR(AVERAGEIFS('Daily Summary'!$D$5:$D$70,'Daily Summary'!$A$5:$A$70,"&gt;="&amp;$Z$1-7,'Daily Summary'!$A$5:$A$70,"&lt;="&amp;$Z$1-1,'Daily Summary'!$C$5:$C$70,"Yes"),"")</f>
        <v>5.57142857142857</v>
      </c>
      <c r="D11" s="12" t="n">
        <f aca="false">IF(OR(B11="",C11=""),"",B11-C11)</f>
        <v>0.142857142857143</v>
      </c>
    </row>
    <row r="12" customFormat="false" ht="15" hidden="false" customHeight="false" outlineLevel="0" collapsed="false">
      <c r="A12" s="13" t="s">
        <v>12</v>
      </c>
      <c r="B12" s="14" t="n">
        <f aca="false">IFERROR(AVERAGEIFS('Daily Summary'!$F$5:$F$70,'Daily Summary'!$A$5:$A$70,"&gt;="&amp;$Z$1,'Daily Summary'!$A$5:$A$70,"&lt;="&amp;$Z$2,'Daily Summary'!$C$5:$C$70,"Yes"),"")</f>
        <v>29.2857142857143</v>
      </c>
      <c r="C12" s="14" t="n">
        <f aca="false">IFERROR(AVERAGEIFS('Daily Summary'!$F$5:$F$70,'Daily Summary'!$A$5:$A$70,"&gt;="&amp;$Z$1-7,'Daily Summary'!$A$5:$A$70,"&lt;="&amp;$Z$1-1,'Daily Summary'!$C$5:$C$70,"Yes"),"")</f>
        <v>28.8571428571429</v>
      </c>
      <c r="D12" s="15" t="n">
        <f aca="false">IF(OR(B12="",C12=""),"",B12-C12)</f>
        <v>0.428571428571427</v>
      </c>
    </row>
    <row r="13" customFormat="false" ht="15" hidden="false" customHeight="false" outlineLevel="0" collapsed="false">
      <c r="A13" s="5" t="s">
        <v>13</v>
      </c>
      <c r="B13" s="11" t="n">
        <f aca="false">IFERROR(SUMIFS('Daily Summary'!$F$5:$F$70,'Daily Summary'!$A$5:$A$70,"&gt;="&amp;$Z$1,'Daily Summary'!$A$5:$A$70,"&lt;="&amp;$Z$2,'Daily Summary'!$C$5:$C$70,"Yes")/SUMIFS('Daily Summary'!$E$5:$E$70,'Daily Summary'!$A$5:$A$70,"&gt;="&amp;$Z$1,'Daily Summary'!$A$5:$A$70,"&lt;="&amp;$Z$2,'Daily Summary'!$C$5:$C$70,"Yes"),"")</f>
        <v>5.125</v>
      </c>
      <c r="C13" s="11" t="n">
        <f aca="false">IFERROR(SUMIFS('Daily Summary'!$F$5:$F$70,'Daily Summary'!$A$5:$A$70,"&gt;="&amp;$Z$1-7,'Daily Summary'!$A$5:$A$70,"&lt;="&amp;$Z$1-1,'Daily Summary'!$C$5:$C$70,"Yes")/SUMIFS('Daily Summary'!$E$5:$E$70,'Daily Summary'!$A$5:$A$70,"&gt;="&amp;$Z$1-7,'Daily Summary'!$A$5:$A$70,"&lt;="&amp;$Z$1-1,'Daily Summary'!$C$5:$C$70,"Yes"),"")</f>
        <v>5.17948717948718</v>
      </c>
      <c r="D13" s="12" t="n">
        <f aca="false">IF(OR(B13="",C13=""),"",B13-C13)</f>
        <v>-0.0544871794871797</v>
      </c>
    </row>
    <row r="14" customFormat="false" ht="15" hidden="false" customHeight="false" outlineLevel="0" collapsed="false">
      <c r="A14" s="13" t="s">
        <v>14</v>
      </c>
      <c r="B14" s="14" t="n">
        <f aca="false">IFERROR(AVERAGEIFS('Daily Summary'!$H$5:$H$70,'Daily Summary'!$A$5:$A$70,"&gt;="&amp;$Z$1,'Daily Summary'!$A$5:$A$70,"&lt;="&amp;$Z$2,'Daily Summary'!$C$5:$C$70,"Yes"),"")</f>
        <v>4.28571428571429</v>
      </c>
      <c r="C14" s="14" t="n">
        <f aca="false">IFERROR(AVERAGEIFS('Daily Summary'!$H$5:$H$70,'Daily Summary'!$A$5:$A$70,"&gt;="&amp;$Z$1-7,'Daily Summary'!$A$5:$A$70,"&lt;="&amp;$Z$1-1,'Daily Summary'!$C$5:$C$70,"Yes"),"")</f>
        <v>4.57142857142857</v>
      </c>
      <c r="D14" s="15" t="n">
        <f aca="false">IF(OR(B14="",C14=""),"",B14-C14)</f>
        <v>-0.285714285714286</v>
      </c>
    </row>
    <row r="15" customFormat="false" ht="15" hidden="false" customHeight="false" outlineLevel="0" collapsed="false">
      <c r="A15" s="5" t="s">
        <v>15</v>
      </c>
      <c r="B15" s="11" t="n">
        <f aca="false">IFERROR(AVERAGEIFS('Daily Summary'!$I$5:$I$70,'Daily Summary'!$A$5:$A$70,"&gt;="&amp;$Z$1,'Daily Summary'!$A$5:$A$70,"&lt;="&amp;$Z$2,'Daily Summary'!$C$5:$C$70,"Yes"),"")</f>
        <v>1.14285714285714</v>
      </c>
      <c r="C15" s="11" t="n">
        <f aca="false">IFERROR(AVERAGEIFS('Daily Summary'!$I$5:$I$70,'Daily Summary'!$A$5:$A$70,"&gt;="&amp;$Z$1-7,'Daily Summary'!$A$5:$A$70,"&lt;="&amp;$Z$1-1,'Daily Summary'!$C$5:$C$70,"Yes"),"")</f>
        <v>0.857142857142857</v>
      </c>
      <c r="D15" s="12" t="n">
        <f aca="false">IF(OR(B15="",C15=""),"",B15-C15)</f>
        <v>0.285714285714286</v>
      </c>
    </row>
    <row r="16" customFormat="false" ht="15" hidden="false" customHeight="false" outlineLevel="0" collapsed="false">
      <c r="A16" s="13" t="s">
        <v>16</v>
      </c>
      <c r="B16" s="14" t="n">
        <f aca="false">IFERROR(AVERAGEIFS('Daily Summary'!$L$5:$L$70,'Daily Summary'!$A$5:$A$70,"&gt;="&amp;$Z$1,'Daily Summary'!$A$5:$A$70,"&lt;="&amp;$Z$2,'Daily Summary'!$C$5:$C$70,"Yes"),"")</f>
        <v>4</v>
      </c>
      <c r="C16" s="14" t="n">
        <f aca="false">IFERROR(AVERAGEIFS('Daily Summary'!$L$5:$L$70,'Daily Summary'!$A$5:$A$70,"&gt;="&amp;$Z$1-7,'Daily Summary'!$A$5:$A$70,"&lt;="&amp;$Z$1-1,'Daily Summary'!$C$5:$C$70,"Yes"),"")</f>
        <v>4.14285714285714</v>
      </c>
      <c r="D16" s="15" t="n">
        <f aca="false">IF(OR(B16="",C16=""),"",B16-C16)</f>
        <v>-0.142857142857143</v>
      </c>
    </row>
    <row r="17" customFormat="false" ht="15" hidden="false" customHeight="false" outlineLevel="0" collapsed="false">
      <c r="A17" s="5" t="s">
        <v>17</v>
      </c>
      <c r="B17" s="11" t="n">
        <f aca="false">IFERROR(AVERAGEIFS('Daily Summary'!$M$5:$M$70,'Daily Summary'!$A$5:$A$70,"&gt;="&amp;$Z$1,'Daily Summary'!$A$5:$A$70,"&lt;="&amp;$Z$2,'Daily Summary'!$C$5:$C$70,"Yes"),"")</f>
        <v>3.10238095225397</v>
      </c>
      <c r="C17" s="11" t="n">
        <f aca="false">IFERROR(AVERAGEIFS('Daily Summary'!$M$5:$M$70,'Daily Summary'!$A$5:$A$70,"&gt;="&amp;$Z$1-7,'Daily Summary'!$A$5:$A$70,"&lt;="&amp;$Z$1-1,'Daily Summary'!$C$5:$C$70,"Yes"),"")</f>
        <v>3.09285714290194</v>
      </c>
      <c r="D17" s="12" t="n">
        <f aca="false">IF(OR(B17="",C17=""),"",B17-C17)</f>
        <v>0.00952380935202424</v>
      </c>
    </row>
    <row r="18" customFormat="false" ht="15" hidden="false" customHeight="false" outlineLevel="0" collapsed="false">
      <c r="A18" s="13" t="s">
        <v>18</v>
      </c>
      <c r="B18" s="14" t="n">
        <f aca="false">IFERROR(AVERAGEIFS('Daily Summary'!$P$5:$P$70,'Daily Summary'!$A$5:$A$70,"&gt;="&amp;$Z$1,'Daily Summary'!$A$5:$A$70,"&lt;="&amp;$Z$2,'Daily Summary'!$C$5:$C$70,"Yes"),"")</f>
        <v>7.1309523809956</v>
      </c>
      <c r="C18" s="14" t="n">
        <f aca="false">IFERROR(AVERAGEIFS('Daily Summary'!$P$5:$P$70,'Daily Summary'!$A$5:$A$70,"&gt;="&amp;$Z$1-7,'Daily Summary'!$A$5:$A$70,"&lt;="&amp;$Z$1-1,'Daily Summary'!$C$5:$C$70,"Yes"),"")</f>
        <v>7.7119047619502</v>
      </c>
      <c r="D18" s="15" t="n">
        <f aca="false">IF(OR(B18="",C18=""),"",B18-C18)</f>
        <v>-0.580952380954604</v>
      </c>
    </row>
    <row r="19" customFormat="false" ht="15" hidden="false" customHeight="false" outlineLevel="0" collapsed="false">
      <c r="A19" s="5" t="s">
        <v>19</v>
      </c>
      <c r="B19" s="11" t="n">
        <f aca="false">IFERROR(AVERAGEIFS('Daily Summary'!$Q$5:$Q$70,'Daily Summary'!$A$5:$A$70,"&gt;="&amp;$Z$1,'Daily Summary'!$A$5:$A$70,"&lt;="&amp;$Z$2,'Daily Summary'!$C$5:$C$70,"Yes"),"")</f>
        <v>10.2333333332496</v>
      </c>
      <c r="C19" s="11" t="n">
        <f aca="false">IFERROR(AVERAGEIFS('Daily Summary'!$Q$5:$Q$70,'Daily Summary'!$A$5:$A$70,"&gt;="&amp;$Z$1-7,'Daily Summary'!$A$5:$A$70,"&lt;="&amp;$Z$1-1,'Daily Summary'!$C$5:$C$70,"Yes"),"")</f>
        <v>10.8047619048521</v>
      </c>
      <c r="D19" s="12" t="n">
        <f aca="false">IF(OR(B19="",C19=""),"",B19-C19)</f>
        <v>-0.57142857160258</v>
      </c>
    </row>
    <row r="20" customFormat="false" ht="15" hidden="false" customHeight="false" outlineLevel="0" collapsed="false">
      <c r="A20" s="13" t="s">
        <v>20</v>
      </c>
      <c r="B20" s="16" t="n">
        <f aca="false">IFERROR(MOD(AVERAGEIFS('Daily Summary'!$S$5:$S$70,'Daily Summary'!$A$5:$A$70,"&gt;="&amp;$Z$1,'Daily Summary'!$A$5:$A$70,"&lt;="&amp;$Z$2,'Daily Summary'!$C$5:$C$70,"Yes")/24+0.5,1),"")</f>
        <v>0.0478174603184536</v>
      </c>
      <c r="C20" s="16" t="n">
        <f aca="false">IFERROR(MOD(AVERAGEIFS('Daily Summary'!$S$5:$S$70,'Daily Summary'!$A$5:$A$70,"&gt;="&amp;$Z$1-7,'Daily Summary'!$A$5:$A$70,"&lt;="&amp;$Z$1-1,'Daily Summary'!$C$5:$C$70,"Yes")/24+0.5,1),"")</f>
        <v>0.030853174601881</v>
      </c>
      <c r="D20" s="17" t="str">
        <f aca="false">IF(OR(B20="",C20=""),"",TEXT(ABS(B20-C20)*1440,"0")&amp;" min "&amp;IF(B20&gt;C20,"later","earlier"))</f>
        <v>24 min later</v>
      </c>
    </row>
    <row r="21" customFormat="false" ht="15" hidden="false" customHeight="false" outlineLevel="0" collapsed="false">
      <c r="A21" s="5" t="s">
        <v>21</v>
      </c>
      <c r="B21" s="18" t="n">
        <f aca="false">IFERROR(AVERAGEIFS('Daily Summary'!$T$5:$T$70,'Daily Summary'!$A$5:$A$70,"&gt;="&amp;$Z$1,'Daily Summary'!$A$5:$A$70,"&lt;="&amp;$Z$2,'Daily Summary'!$C$5:$C$70,"Yes"),"")</f>
        <v>0.344940476190199</v>
      </c>
      <c r="C21" s="18" t="n">
        <f aca="false">IFERROR(AVERAGEIFS('Daily Summary'!$T$5:$T$70,'Daily Summary'!$A$5:$A$70,"&gt;="&amp;$Z$1-7,'Daily Summary'!$A$5:$A$70,"&lt;="&amp;$Z$1-1,'Daily Summary'!$C$5:$C$70,"Yes"),"")</f>
        <v>0.352182539685081</v>
      </c>
      <c r="D21" s="19" t="str">
        <f aca="false">IF(OR(B21="",C21=""),"",TEXT(ABS(B21-C21)*1440,"0")&amp;" min "&amp;IF(B21&gt;C21,"later","earlier"))</f>
        <v>10 min earlier</v>
      </c>
    </row>
    <row r="22" customFormat="false" ht="15" hidden="false" customHeight="false" outlineLevel="0" collapsed="false">
      <c r="A22" s="13" t="s">
        <v>22</v>
      </c>
      <c r="B22" s="14" t="n">
        <f aca="false">IFERROR(AVERAGEIFS('Daily Summary'!$R$5:$R$70,'Daily Summary'!$A$5:$A$70,"&gt;="&amp;$Z$1,'Daily Summary'!$A$5:$A$70,"&lt;="&amp;$Z$2,'Daily Summary'!$C$5:$C$70,"Yes"),"")</f>
        <v>2.85714285714286</v>
      </c>
      <c r="C22" s="14" t="n">
        <f aca="false">IFERROR(AVERAGEIFS('Daily Summary'!$R$5:$R$70,'Daily Summary'!$A$5:$A$70,"&gt;="&amp;$Z$1-7,'Daily Summary'!$A$5:$A$70,"&lt;="&amp;$Z$1-1,'Daily Summary'!$C$5:$C$70,"Yes"),"")</f>
        <v>2.85714285714286</v>
      </c>
      <c r="D22" s="15" t="n">
        <f aca="false">IF(OR(B22="",C22=""),"",B22-C22)</f>
        <v>0</v>
      </c>
    </row>
    <row r="24" customFormat="false" ht="15" hidden="false" customHeight="true" outlineLevel="0" collapsed="false">
      <c r="A24" s="20" t="s">
        <v>23</v>
      </c>
      <c r="B24" s="20"/>
      <c r="C24" s="20"/>
      <c r="D24" s="20"/>
    </row>
    <row r="25" customFormat="false" ht="15" hidden="false" customHeight="false" outlineLevel="0" collapsed="false">
      <c r="A25" s="20"/>
      <c r="B25" s="20"/>
      <c r="C25" s="20"/>
      <c r="D25" s="20"/>
    </row>
    <row r="26" customFormat="false" ht="15" hidden="false" customHeight="false" outlineLevel="0" collapsed="false">
      <c r="A26" s="20"/>
      <c r="B26" s="20"/>
      <c r="C26" s="20"/>
      <c r="D26" s="20"/>
    </row>
  </sheetData>
  <mergeCells count="2">
    <mergeCell ref="A9:D9"/>
    <mergeCell ref="A24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8" min="16" style="0" width="9"/>
    <col collapsed="false" customWidth="true" hidden="true" outlineLevel="0" max="20" min="19" style="0" width="9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3" t="s">
        <v>25</v>
      </c>
    </row>
    <row r="4" customFormat="false" ht="31.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11</v>
      </c>
      <c r="E4" s="10" t="s">
        <v>29</v>
      </c>
      <c r="F4" s="10" t="s">
        <v>30</v>
      </c>
      <c r="G4" s="10" t="s">
        <v>31</v>
      </c>
      <c r="H4" s="10" t="s">
        <v>14</v>
      </c>
      <c r="I4" s="10" t="s">
        <v>15</v>
      </c>
      <c r="J4" s="10" t="s">
        <v>32</v>
      </c>
      <c r="K4" s="10" t="s">
        <v>33</v>
      </c>
      <c r="L4" s="10" t="s">
        <v>16</v>
      </c>
      <c r="M4" s="10" t="s">
        <v>17</v>
      </c>
      <c r="N4" s="10" t="s">
        <v>20</v>
      </c>
      <c r="O4" s="10" t="s">
        <v>34</v>
      </c>
      <c r="P4" s="10" t="s">
        <v>35</v>
      </c>
      <c r="Q4" s="10" t="s">
        <v>36</v>
      </c>
      <c r="R4" s="10" t="s">
        <v>22</v>
      </c>
      <c r="S4" s="10" t="s">
        <v>37</v>
      </c>
      <c r="T4" s="10" t="s">
        <v>38</v>
      </c>
    </row>
    <row r="5" customFormat="false" ht="15" hidden="false" customHeight="false" outlineLevel="0" collapsed="false">
      <c r="A5" s="21" t="n">
        <v>46248</v>
      </c>
      <c r="B5" s="22" t="n">
        <f aca="false">A5-WEEKDAY(A5,3)</f>
        <v>46244</v>
      </c>
      <c r="C5" s="23" t="s">
        <v>39</v>
      </c>
      <c r="D5" s="23" t="n">
        <f aca="false">COUNTIFS('Raw Log'!$F$5:$F$1538,A5,'Raw Log'!$B$5:$B$1538,"Feed")</f>
        <v>2</v>
      </c>
      <c r="E5" s="23" t="n">
        <f aca="false">COUNTIFS('Raw Log'!$F$5:$F$1538,A5,'Raw Log'!$B$5:$B$1538,"Feed",'Raw Log'!$C$5:$C$1538,"&gt;0")</f>
        <v>0</v>
      </c>
      <c r="F5" s="23" t="str">
        <f aca="false">IF(E5=0,"",SUMIFS('Raw Log'!$C$5:$C$1538,'Raw Log'!$F$5:$F$1538,A5,'Raw Log'!$B$5:$B$1538,"Feed"))</f>
        <v/>
      </c>
      <c r="G5" s="24" t="str">
        <f aca="false">IF(E5=0,"",F5/E5)</f>
        <v/>
      </c>
      <c r="H5" s="23" t="str">
        <f aca="false">IF(K5=J5,"",COUNTIFS('Raw Log'!$F$5:$F$1538,A5,'Raw Log'!$B$5:$B$1538,"Diaper",'Raw Log'!$D$5:$D$1538,"Pee")+COUNTIFS('Raw Log'!$F$5:$F$1538,A5,'Raw Log'!$B$5:$B$1538,"Diaper",'Raw Log'!$D$5:$D$1538,"Both"))</f>
        <v/>
      </c>
      <c r="I5" s="23" t="str">
        <f aca="false">IF(K5=J5,"",COUNTIFS('Raw Log'!$F$5:$F$1538,A5,'Raw Log'!$B$5:$B$1538,"Diaper",'Raw Log'!$D$5:$D$1538,"Poop")+COUNTIFS('Raw Log'!$F$5:$F$1538,A5,'Raw Log'!$B$5:$B$1538,"Diaper",'Raw Log'!$D$5:$D$1538,"Both"))</f>
        <v/>
      </c>
      <c r="J5" s="23" t="n">
        <f aca="false">COUNTIFS('Raw Log'!$F$5:$F$1538,A5,'Raw Log'!$B$5:$B$1538,"Diaper")</f>
        <v>1</v>
      </c>
      <c r="K5" s="23" t="n">
        <f aca="false">J5-COUNTIFS('Raw Log'!$F$5:$F$1538,A5,'Raw Log'!$B$5:$B$1538,"Diaper",'Raw Log'!$D$5:$D$1538,"Pee")-COUNTIFS('Raw Log'!$F$5:$F$1538,A5,'Raw Log'!$B$5:$B$1538,"Diaper",'Raw Log'!$D$5:$D$1538,"Poop")-COUNTIFS('Raw Log'!$F$5:$F$1538,A5,'Raw Log'!$B$5:$B$1538,"Diaper",'Raw Log'!$D$5:$D$1538,"Both")</f>
        <v>1</v>
      </c>
      <c r="L5" s="23" t="n">
        <f aca="false">COUNTIFS('Sleep Detail'!$A$5:$A$285,A5,'Sleep Detail'!$B$5:$B$285,"Nap")</f>
        <v>0</v>
      </c>
      <c r="M5" s="24" t="n">
        <f aca="false">SUMIFS('Sleep Detail'!$E$5:$E$285,'Sleep Detail'!$A$5:$A$285,A5,'Sleep Detail'!$B$5:$B$285,"Nap")</f>
        <v>0</v>
      </c>
      <c r="N5" s="25" t="n">
        <f aca="false">IF(COUNTIFS('Sleep Detail'!$A$5:$A$285,A5,'Sleep Detail'!$B$5:$B$285,"Night")=0,"",_xlfn.MINIFS('Sleep Detail'!$C$5:$C$285,'Sleep Detail'!$A$5:$A$285,A5,'Sleep Detail'!$B$5:$B$285,"Night"))</f>
        <v>46249.025</v>
      </c>
      <c r="O5" s="25" t="n">
        <f aca="false">IF(COUNTIFS('Sleep Detail'!$A$5:$A$285,A5,'Sleep Detail'!$B$5:$B$285,"Night")=0,"",_xlfn.MAXIFS('Sleep Detail'!$D$5:$D$285,'Sleep Detail'!$A$5:$A$285,A5,'Sleep Detail'!$B$5:$B$285,"Night"))</f>
        <v>46249.3125</v>
      </c>
      <c r="P5" s="24" t="n">
        <f aca="false">IF(COUNTIFS('Sleep Detail'!$A$5:$A$285,A5,'Sleep Detail'!$B$5:$B$285,"Night")=0,"",SUMIFS('Sleep Detail'!$E$5:$E$285,'Sleep Detail'!$A$5:$A$285,A5,'Sleep Detail'!$B$5:$B$285,"Night"))</f>
        <v>6.9</v>
      </c>
      <c r="Q5" s="24" t="n">
        <f aca="false">IF(P5="","",M5+P5)</f>
        <v>6.9</v>
      </c>
      <c r="R5" s="23" t="n">
        <f aca="false">COUNTIFS('Raw Log'!$F$5:$F$1538,A5,'Raw Log'!$B$5:$B$1538,"Medicine")</f>
        <v>2</v>
      </c>
      <c r="S5" s="24" t="n">
        <f aca="false">IF(N5="","",MOD(N5-0.5,1)*24)</f>
        <v>12.6000000000349</v>
      </c>
      <c r="T5" s="25" t="n">
        <f aca="false">IF(O5="","",MOD(O5,1))</f>
        <v>0.3125</v>
      </c>
    </row>
    <row r="6" customFormat="false" ht="15" hidden="false" customHeight="false" outlineLevel="0" collapsed="false">
      <c r="A6" s="26" t="n">
        <v>46249</v>
      </c>
      <c r="B6" s="27" t="n">
        <f aca="false">A6-WEEKDAY(A6,3)</f>
        <v>46244</v>
      </c>
      <c r="C6" s="19" t="s">
        <v>40</v>
      </c>
      <c r="D6" s="19" t="n">
        <f aca="false">COUNTIFS('Raw Log'!$F$5:$F$1538,A6,'Raw Log'!$B$5:$B$1538,"Feed")</f>
        <v>7</v>
      </c>
      <c r="E6" s="19" t="n">
        <f aca="false">COUNTIFS('Raw Log'!$F$5:$F$1538,A6,'Raw Log'!$B$5:$B$1538,"Feed",'Raw Log'!$C$5:$C$1538,"&gt;0")</f>
        <v>0</v>
      </c>
      <c r="F6" s="19" t="str">
        <f aca="false">IF(E6=0,"",SUMIFS('Raw Log'!$C$5:$C$1538,'Raw Log'!$F$5:$F$1538,A6,'Raw Log'!$B$5:$B$1538,"Feed"))</f>
        <v/>
      </c>
      <c r="G6" s="11" t="str">
        <f aca="false">IF(E6=0,"",F6/E6)</f>
        <v/>
      </c>
      <c r="H6" s="19" t="str">
        <f aca="false">IF(K6=J6,"",COUNTIFS('Raw Log'!$F$5:$F$1538,A6,'Raw Log'!$B$5:$B$1538,"Diaper",'Raw Log'!$D$5:$D$1538,"Pee")+COUNTIFS('Raw Log'!$F$5:$F$1538,A6,'Raw Log'!$B$5:$B$1538,"Diaper",'Raw Log'!$D$5:$D$1538,"Both"))</f>
        <v/>
      </c>
      <c r="I6" s="19" t="str">
        <f aca="false">IF(K6=J6,"",COUNTIFS('Raw Log'!$F$5:$F$1538,A6,'Raw Log'!$B$5:$B$1538,"Diaper",'Raw Log'!$D$5:$D$1538,"Poop")+COUNTIFS('Raw Log'!$F$5:$F$1538,A6,'Raw Log'!$B$5:$B$1538,"Diaper",'Raw Log'!$D$5:$D$1538,"Both"))</f>
        <v/>
      </c>
      <c r="J6" s="19" t="n">
        <f aca="false">COUNTIFS('Raw Log'!$F$5:$F$1538,A6,'Raw Log'!$B$5:$B$1538,"Diaper")</f>
        <v>7</v>
      </c>
      <c r="K6" s="19" t="n">
        <f aca="false">J6-COUNTIFS('Raw Log'!$F$5:$F$1538,A6,'Raw Log'!$B$5:$B$1538,"Diaper",'Raw Log'!$D$5:$D$1538,"Pee")-COUNTIFS('Raw Log'!$F$5:$F$1538,A6,'Raw Log'!$B$5:$B$1538,"Diaper",'Raw Log'!$D$5:$D$1538,"Poop")-COUNTIFS('Raw Log'!$F$5:$F$1538,A6,'Raw Log'!$B$5:$B$1538,"Diaper",'Raw Log'!$D$5:$D$1538,"Both")</f>
        <v>7</v>
      </c>
      <c r="L6" s="19" t="n">
        <f aca="false">COUNTIFS('Sleep Detail'!$A$5:$A$285,A6,'Sleep Detail'!$B$5:$B$285,"Nap")</f>
        <v>6</v>
      </c>
      <c r="M6" s="11" t="n">
        <f aca="false">SUMIFS('Sleep Detail'!$E$5:$E$285,'Sleep Detail'!$A$5:$A$285,A6,'Sleep Detail'!$B$5:$B$285,"Nap")</f>
        <v>4.7</v>
      </c>
      <c r="N6" s="18" t="n">
        <f aca="false">IF(COUNTIFS('Sleep Detail'!$A$5:$A$285,A6,'Sleep Detail'!$B$5:$B$285,"Night")=0,"",_xlfn.MINIFS('Sleep Detail'!$C$5:$C$285,'Sleep Detail'!$A$5:$A$285,A6,'Sleep Detail'!$B$5:$B$285,"Night"))</f>
        <v>46250.0625</v>
      </c>
      <c r="O6" s="18" t="n">
        <f aca="false">IF(COUNTIFS('Sleep Detail'!$A$5:$A$285,A6,'Sleep Detail'!$B$5:$B$285,"Night")=0,"",_xlfn.MAXIFS('Sleep Detail'!$D$5:$D$285,'Sleep Detail'!$A$5:$A$285,A6,'Sleep Detail'!$B$5:$B$285,"Night"))</f>
        <v>46250.2541666667</v>
      </c>
      <c r="P6" s="11" t="n">
        <f aca="false">IF(COUNTIFS('Sleep Detail'!$A$5:$A$285,A6,'Sleep Detail'!$B$5:$B$285,"Night")=0,"",SUMIFS('Sleep Detail'!$E$5:$E$285,'Sleep Detail'!$A$5:$A$285,A6,'Sleep Detail'!$B$5:$B$285,"Night"))</f>
        <v>4.6</v>
      </c>
      <c r="Q6" s="11" t="n">
        <f aca="false">IF(P6="","",M6+P6)</f>
        <v>9.3</v>
      </c>
      <c r="R6" s="19" t="n">
        <f aca="false">COUNTIFS('Raw Log'!$F$5:$F$1538,A6,'Raw Log'!$B$5:$B$1538,"Medicine")</f>
        <v>3</v>
      </c>
      <c r="S6" s="11" t="n">
        <f aca="false">IF(N6="","",MOD(N6-0.5,1)*24)</f>
        <v>13.5</v>
      </c>
      <c r="T6" s="18" t="n">
        <f aca="false">IF(O6="","",MOD(O6,1))</f>
        <v>0.254166666672973</v>
      </c>
    </row>
    <row r="7" customFormat="false" ht="15" hidden="false" customHeight="false" outlineLevel="0" collapsed="false">
      <c r="A7" s="26" t="n">
        <v>46250</v>
      </c>
      <c r="B7" s="27" t="n">
        <f aca="false">A7-WEEKDAY(A7,3)</f>
        <v>46244</v>
      </c>
      <c r="C7" s="19" t="s">
        <v>40</v>
      </c>
      <c r="D7" s="19" t="n">
        <f aca="false">COUNTIFS('Raw Log'!$F$5:$F$1538,A7,'Raw Log'!$B$5:$B$1538,"Feed")</f>
        <v>5</v>
      </c>
      <c r="E7" s="19" t="n">
        <f aca="false">COUNTIFS('Raw Log'!$F$5:$F$1538,A7,'Raw Log'!$B$5:$B$1538,"Feed",'Raw Log'!$C$5:$C$1538,"&gt;0")</f>
        <v>0</v>
      </c>
      <c r="F7" s="19" t="str">
        <f aca="false">IF(E7=0,"",SUMIFS('Raw Log'!$C$5:$C$1538,'Raw Log'!$F$5:$F$1538,A7,'Raw Log'!$B$5:$B$1538,"Feed"))</f>
        <v/>
      </c>
      <c r="G7" s="11" t="str">
        <f aca="false">IF(E7=0,"",F7/E7)</f>
        <v/>
      </c>
      <c r="H7" s="19" t="str">
        <f aca="false">IF(K7=J7,"",COUNTIFS('Raw Log'!$F$5:$F$1538,A7,'Raw Log'!$B$5:$B$1538,"Diaper",'Raw Log'!$D$5:$D$1538,"Pee")+COUNTIFS('Raw Log'!$F$5:$F$1538,A7,'Raw Log'!$B$5:$B$1538,"Diaper",'Raw Log'!$D$5:$D$1538,"Both"))</f>
        <v/>
      </c>
      <c r="I7" s="19" t="str">
        <f aca="false">IF(K7=J7,"",COUNTIFS('Raw Log'!$F$5:$F$1538,A7,'Raw Log'!$B$5:$B$1538,"Diaper",'Raw Log'!$D$5:$D$1538,"Poop")+COUNTIFS('Raw Log'!$F$5:$F$1538,A7,'Raw Log'!$B$5:$B$1538,"Diaper",'Raw Log'!$D$5:$D$1538,"Both"))</f>
        <v/>
      </c>
      <c r="J7" s="19" t="n">
        <f aca="false">COUNTIFS('Raw Log'!$F$5:$F$1538,A7,'Raw Log'!$B$5:$B$1538,"Diaper")</f>
        <v>5</v>
      </c>
      <c r="K7" s="19" t="n">
        <f aca="false">J7-COUNTIFS('Raw Log'!$F$5:$F$1538,A7,'Raw Log'!$B$5:$B$1538,"Diaper",'Raw Log'!$D$5:$D$1538,"Pee")-COUNTIFS('Raw Log'!$F$5:$F$1538,A7,'Raw Log'!$B$5:$B$1538,"Diaper",'Raw Log'!$D$5:$D$1538,"Poop")-COUNTIFS('Raw Log'!$F$5:$F$1538,A7,'Raw Log'!$B$5:$B$1538,"Diaper",'Raw Log'!$D$5:$D$1538,"Both")</f>
        <v>5</v>
      </c>
      <c r="L7" s="19" t="n">
        <f aca="false">COUNTIFS('Sleep Detail'!$A$5:$A$285,A7,'Sleep Detail'!$B$5:$B$285,"Nap")</f>
        <v>1</v>
      </c>
      <c r="M7" s="11" t="n">
        <f aca="false">SUMIFS('Sleep Detail'!$E$5:$E$285,'Sleep Detail'!$A$5:$A$285,A7,'Sleep Detail'!$B$5:$B$285,"Nap")</f>
        <v>1.35</v>
      </c>
      <c r="N7" s="18" t="n">
        <f aca="false">IF(COUNTIFS('Sleep Detail'!$A$5:$A$285,A7,'Sleep Detail'!$B$5:$B$285,"Night")=0,"",_xlfn.MINIFS('Sleep Detail'!$C$5:$C$285,'Sleep Detail'!$A$5:$A$285,A7,'Sleep Detail'!$B$5:$B$285,"Night"))</f>
        <v>46251.0118055556</v>
      </c>
      <c r="O7" s="18" t="n">
        <f aca="false">IF(COUNTIFS('Sleep Detail'!$A$5:$A$285,A7,'Sleep Detail'!$B$5:$B$285,"Night")=0,"",_xlfn.MAXIFS('Sleep Detail'!$D$5:$D$285,'Sleep Detail'!$A$5:$A$285,A7,'Sleep Detail'!$B$5:$B$285,"Night"))</f>
        <v>46251.3340277778</v>
      </c>
      <c r="P7" s="11" t="n">
        <f aca="false">IF(COUNTIFS('Sleep Detail'!$A$5:$A$285,A7,'Sleep Detail'!$B$5:$B$285,"Night")=0,"",SUMIFS('Sleep Detail'!$E$5:$E$285,'Sleep Detail'!$A$5:$A$285,A7,'Sleep Detail'!$B$5:$B$285,"Night"))</f>
        <v>7.73333333333333</v>
      </c>
      <c r="Q7" s="11" t="n">
        <f aca="false">IF(P7="","",M7+P7)</f>
        <v>9.08333333333333</v>
      </c>
      <c r="R7" s="19" t="n">
        <f aca="false">COUNTIFS('Raw Log'!$F$5:$F$1538,A7,'Raw Log'!$B$5:$B$1538,"Medicine")</f>
        <v>4</v>
      </c>
      <c r="S7" s="11" t="n">
        <f aca="false">IF(N7="","",MOD(N7-0.5,1)*24)</f>
        <v>12.2833333333838</v>
      </c>
      <c r="T7" s="18" t="n">
        <f aca="false">IF(O7="","",MOD(O7,1))</f>
        <v>0.334027777782467</v>
      </c>
    </row>
    <row r="8" customFormat="false" ht="15" hidden="false" customHeight="false" outlineLevel="0" collapsed="false">
      <c r="A8" s="26" t="n">
        <v>46251</v>
      </c>
      <c r="B8" s="27" t="n">
        <f aca="false">A8-WEEKDAY(A8,3)</f>
        <v>46251</v>
      </c>
      <c r="C8" s="19" t="s">
        <v>40</v>
      </c>
      <c r="D8" s="19" t="n">
        <f aca="false">COUNTIFS('Raw Log'!$F$5:$F$1538,A8,'Raw Log'!$B$5:$B$1538,"Feed")</f>
        <v>6</v>
      </c>
      <c r="E8" s="19" t="n">
        <f aca="false">COUNTIFS('Raw Log'!$F$5:$F$1538,A8,'Raw Log'!$B$5:$B$1538,"Feed",'Raw Log'!$C$5:$C$1538,"&gt;0")</f>
        <v>0</v>
      </c>
      <c r="F8" s="19" t="str">
        <f aca="false">IF(E8=0,"",SUMIFS('Raw Log'!$C$5:$C$1538,'Raw Log'!$F$5:$F$1538,A8,'Raw Log'!$B$5:$B$1538,"Feed"))</f>
        <v/>
      </c>
      <c r="G8" s="11" t="str">
        <f aca="false">IF(E8=0,"",F8/E8)</f>
        <v/>
      </c>
      <c r="H8" s="19" t="str">
        <f aca="false">IF(K8=J8,"",COUNTIFS('Raw Log'!$F$5:$F$1538,A8,'Raw Log'!$B$5:$B$1538,"Diaper",'Raw Log'!$D$5:$D$1538,"Pee")+COUNTIFS('Raw Log'!$F$5:$F$1538,A8,'Raw Log'!$B$5:$B$1538,"Diaper",'Raw Log'!$D$5:$D$1538,"Both"))</f>
        <v/>
      </c>
      <c r="I8" s="19" t="str">
        <f aca="false">IF(K8=J8,"",COUNTIFS('Raw Log'!$F$5:$F$1538,A8,'Raw Log'!$B$5:$B$1538,"Diaper",'Raw Log'!$D$5:$D$1538,"Poop")+COUNTIFS('Raw Log'!$F$5:$F$1538,A8,'Raw Log'!$B$5:$B$1538,"Diaper",'Raw Log'!$D$5:$D$1538,"Both"))</f>
        <v/>
      </c>
      <c r="J8" s="19" t="n">
        <f aca="false">COUNTIFS('Raw Log'!$F$5:$F$1538,A8,'Raw Log'!$B$5:$B$1538,"Diaper")</f>
        <v>6</v>
      </c>
      <c r="K8" s="19" t="n">
        <f aca="false">J8-COUNTIFS('Raw Log'!$F$5:$F$1538,A8,'Raw Log'!$B$5:$B$1538,"Diaper",'Raw Log'!$D$5:$D$1538,"Pee")-COUNTIFS('Raw Log'!$F$5:$F$1538,A8,'Raw Log'!$B$5:$B$1538,"Diaper",'Raw Log'!$D$5:$D$1538,"Poop")-COUNTIFS('Raw Log'!$F$5:$F$1538,A8,'Raw Log'!$B$5:$B$1538,"Diaper",'Raw Log'!$D$5:$D$1538,"Both")</f>
        <v>6</v>
      </c>
      <c r="L8" s="19" t="n">
        <f aca="false">COUNTIFS('Sleep Detail'!$A$5:$A$285,A8,'Sleep Detail'!$B$5:$B$285,"Nap")</f>
        <v>5</v>
      </c>
      <c r="M8" s="11" t="n">
        <f aca="false">SUMIFS('Sleep Detail'!$E$5:$E$285,'Sleep Detail'!$A$5:$A$285,A8,'Sleep Detail'!$B$5:$B$285,"Nap")</f>
        <v>1.83333333367861</v>
      </c>
      <c r="N8" s="18" t="n">
        <f aca="false">IF(COUNTIFS('Sleep Detail'!$A$5:$A$285,A8,'Sleep Detail'!$B$5:$B$285,"Night")=0,"",_xlfn.MINIFS('Sleep Detail'!$C$5:$C$285,'Sleep Detail'!$A$5:$A$285,A8,'Sleep Detail'!$B$5:$B$285,"Night"))</f>
        <v>46252.0069444445</v>
      </c>
      <c r="O8" s="18" t="n">
        <f aca="false">IF(COUNTIFS('Sleep Detail'!$A$5:$A$285,A8,'Sleep Detail'!$B$5:$B$285,"Night")=0,"",_xlfn.MAXIFS('Sleep Detail'!$D$5:$D$285,'Sleep Detail'!$A$5:$A$285,A8,'Sleep Detail'!$B$5:$B$285,"Night"))</f>
        <v>46252.2951388889</v>
      </c>
      <c r="P8" s="11" t="n">
        <f aca="false">IF(COUNTIFS('Sleep Detail'!$A$5:$A$285,A8,'Sleep Detail'!$B$5:$B$285,"Night")=0,"",SUMIFS('Sleep Detail'!$E$5:$E$285,'Sleep Detail'!$A$5:$A$285,A8,'Sleep Detail'!$B$5:$B$285,"Night"))</f>
        <v>6.91666666666667</v>
      </c>
      <c r="Q8" s="11" t="n">
        <f aca="false">IF(P8="","",M8+P8)</f>
        <v>8.75000000034528</v>
      </c>
      <c r="R8" s="19" t="n">
        <f aca="false">COUNTIFS('Raw Log'!$F$5:$F$1538,A8,'Raw Log'!$B$5:$B$1538,"Medicine")</f>
        <v>3</v>
      </c>
      <c r="S8" s="11" t="n">
        <f aca="false">IF(N8="","",MOD(N8-0.5,1)*24)</f>
        <v>12.1666666666861</v>
      </c>
      <c r="T8" s="18" t="n">
        <f aca="false">IF(O8="","",MOD(O8,1))</f>
        <v>0.295138888890506</v>
      </c>
    </row>
    <row r="9" customFormat="false" ht="15" hidden="false" customHeight="false" outlineLevel="0" collapsed="false">
      <c r="A9" s="26" t="n">
        <v>46252</v>
      </c>
      <c r="B9" s="27" t="n">
        <f aca="false">A9-WEEKDAY(A9,3)</f>
        <v>46251</v>
      </c>
      <c r="C9" s="19" t="s">
        <v>40</v>
      </c>
      <c r="D9" s="19" t="n">
        <f aca="false">COUNTIFS('Raw Log'!$F$5:$F$1538,A9,'Raw Log'!$B$5:$B$1538,"Feed")</f>
        <v>6</v>
      </c>
      <c r="E9" s="19" t="n">
        <f aca="false">COUNTIFS('Raw Log'!$F$5:$F$1538,A9,'Raw Log'!$B$5:$B$1538,"Feed",'Raw Log'!$C$5:$C$1538,"&gt;0")</f>
        <v>0</v>
      </c>
      <c r="F9" s="19" t="str">
        <f aca="false">IF(E9=0,"",SUMIFS('Raw Log'!$C$5:$C$1538,'Raw Log'!$F$5:$F$1538,A9,'Raw Log'!$B$5:$B$1538,"Feed"))</f>
        <v/>
      </c>
      <c r="G9" s="11" t="str">
        <f aca="false">IF(E9=0,"",F9/E9)</f>
        <v/>
      </c>
      <c r="H9" s="19" t="str">
        <f aca="false">IF(K9=J9,"",COUNTIFS('Raw Log'!$F$5:$F$1538,A9,'Raw Log'!$B$5:$B$1538,"Diaper",'Raw Log'!$D$5:$D$1538,"Pee")+COUNTIFS('Raw Log'!$F$5:$F$1538,A9,'Raw Log'!$B$5:$B$1538,"Diaper",'Raw Log'!$D$5:$D$1538,"Both"))</f>
        <v/>
      </c>
      <c r="I9" s="19" t="str">
        <f aca="false">IF(K9=J9,"",COUNTIFS('Raw Log'!$F$5:$F$1538,A9,'Raw Log'!$B$5:$B$1538,"Diaper",'Raw Log'!$D$5:$D$1538,"Poop")+COUNTIFS('Raw Log'!$F$5:$F$1538,A9,'Raw Log'!$B$5:$B$1538,"Diaper",'Raw Log'!$D$5:$D$1538,"Both"))</f>
        <v/>
      </c>
      <c r="J9" s="19" t="n">
        <f aca="false">COUNTIFS('Raw Log'!$F$5:$F$1538,A9,'Raw Log'!$B$5:$B$1538,"Diaper")</f>
        <v>7</v>
      </c>
      <c r="K9" s="19" t="n">
        <f aca="false">J9-COUNTIFS('Raw Log'!$F$5:$F$1538,A9,'Raw Log'!$B$5:$B$1538,"Diaper",'Raw Log'!$D$5:$D$1538,"Pee")-COUNTIFS('Raw Log'!$F$5:$F$1538,A9,'Raw Log'!$B$5:$B$1538,"Diaper",'Raw Log'!$D$5:$D$1538,"Poop")-COUNTIFS('Raw Log'!$F$5:$F$1538,A9,'Raw Log'!$B$5:$B$1538,"Diaper",'Raw Log'!$D$5:$D$1538,"Both")</f>
        <v>7</v>
      </c>
      <c r="L9" s="19" t="n">
        <f aca="false">COUNTIFS('Sleep Detail'!$A$5:$A$285,A9,'Sleep Detail'!$B$5:$B$285,"Nap")</f>
        <v>4</v>
      </c>
      <c r="M9" s="11" t="n">
        <f aca="false">SUMIFS('Sleep Detail'!$E$5:$E$285,'Sleep Detail'!$A$5:$A$285,A9,'Sleep Detail'!$B$5:$B$285,"Nap")</f>
        <v>2.98333333333333</v>
      </c>
      <c r="N9" s="18" t="str">
        <f aca="false">IF(COUNTIFS('Sleep Detail'!$A$5:$A$285,A9,'Sleep Detail'!$B$5:$B$285,"Night")=0,"",_xlfn.MINIFS('Sleep Detail'!$C$5:$C$285,'Sleep Detail'!$A$5:$A$285,A9,'Sleep Detail'!$B$5:$B$285,"Night"))</f>
        <v/>
      </c>
      <c r="O9" s="18" t="str">
        <f aca="false">IF(COUNTIFS('Sleep Detail'!$A$5:$A$285,A9,'Sleep Detail'!$B$5:$B$285,"Night")=0,"",_xlfn.MAXIFS('Sleep Detail'!$D$5:$D$285,'Sleep Detail'!$A$5:$A$285,A9,'Sleep Detail'!$B$5:$B$285,"Night"))</f>
        <v/>
      </c>
      <c r="P9" s="11" t="str">
        <f aca="false">IF(COUNTIFS('Sleep Detail'!$A$5:$A$285,A9,'Sleep Detail'!$B$5:$B$285,"Night")=0,"",SUMIFS('Sleep Detail'!$E$5:$E$285,'Sleep Detail'!$A$5:$A$285,A9,'Sleep Detail'!$B$5:$B$285,"Night"))</f>
        <v/>
      </c>
      <c r="Q9" s="11" t="str">
        <f aca="false">IF(P9="","",M9+P9)</f>
        <v/>
      </c>
      <c r="R9" s="19" t="n">
        <f aca="false">COUNTIFS('Raw Log'!$F$5:$F$1538,A9,'Raw Log'!$B$5:$B$1538,"Medicine")</f>
        <v>3</v>
      </c>
      <c r="S9" s="11" t="str">
        <f aca="false">IF(N9="","",MOD(N9-0.5,1)*24)</f>
        <v/>
      </c>
      <c r="T9" s="18" t="str">
        <f aca="false">IF(O9="","",MOD(O9,1))</f>
        <v/>
      </c>
    </row>
    <row r="10" customFormat="false" ht="15" hidden="false" customHeight="false" outlineLevel="0" collapsed="false">
      <c r="A10" s="26" t="n">
        <v>46253</v>
      </c>
      <c r="B10" s="27" t="n">
        <f aca="false">A10-WEEKDAY(A10,3)</f>
        <v>46251</v>
      </c>
      <c r="C10" s="19" t="s">
        <v>40</v>
      </c>
      <c r="D10" s="19" t="n">
        <f aca="false">COUNTIFS('Raw Log'!$F$5:$F$1538,A10,'Raw Log'!$B$5:$B$1538,"Feed")</f>
        <v>6</v>
      </c>
      <c r="E10" s="19" t="n">
        <f aca="false">COUNTIFS('Raw Log'!$F$5:$F$1538,A10,'Raw Log'!$B$5:$B$1538,"Feed",'Raw Log'!$C$5:$C$1538,"&gt;0")</f>
        <v>0</v>
      </c>
      <c r="F10" s="19" t="str">
        <f aca="false">IF(E10=0,"",SUMIFS('Raw Log'!$C$5:$C$1538,'Raw Log'!$F$5:$F$1538,A10,'Raw Log'!$B$5:$B$1538,"Feed"))</f>
        <v/>
      </c>
      <c r="G10" s="11" t="str">
        <f aca="false">IF(E10=0,"",F10/E10)</f>
        <v/>
      </c>
      <c r="H10" s="19" t="str">
        <f aca="false">IF(K10=J10,"",COUNTIFS('Raw Log'!$F$5:$F$1538,A10,'Raw Log'!$B$5:$B$1538,"Diaper",'Raw Log'!$D$5:$D$1538,"Pee")+COUNTIFS('Raw Log'!$F$5:$F$1538,A10,'Raw Log'!$B$5:$B$1538,"Diaper",'Raw Log'!$D$5:$D$1538,"Both"))</f>
        <v/>
      </c>
      <c r="I10" s="19" t="str">
        <f aca="false">IF(K10=J10,"",COUNTIFS('Raw Log'!$F$5:$F$1538,A10,'Raw Log'!$B$5:$B$1538,"Diaper",'Raw Log'!$D$5:$D$1538,"Poop")+COUNTIFS('Raw Log'!$F$5:$F$1538,A10,'Raw Log'!$B$5:$B$1538,"Diaper",'Raw Log'!$D$5:$D$1538,"Both"))</f>
        <v/>
      </c>
      <c r="J10" s="19" t="n">
        <f aca="false">COUNTIFS('Raw Log'!$F$5:$F$1538,A10,'Raw Log'!$B$5:$B$1538,"Diaper")</f>
        <v>7</v>
      </c>
      <c r="K10" s="19" t="n">
        <f aca="false">J10-COUNTIFS('Raw Log'!$F$5:$F$1538,A10,'Raw Log'!$B$5:$B$1538,"Diaper",'Raw Log'!$D$5:$D$1538,"Pee")-COUNTIFS('Raw Log'!$F$5:$F$1538,A10,'Raw Log'!$B$5:$B$1538,"Diaper",'Raw Log'!$D$5:$D$1538,"Poop")-COUNTIFS('Raw Log'!$F$5:$F$1538,A10,'Raw Log'!$B$5:$B$1538,"Diaper",'Raw Log'!$D$5:$D$1538,"Both")</f>
        <v>7</v>
      </c>
      <c r="L10" s="19" t="n">
        <f aca="false">COUNTIFS('Sleep Detail'!$A$5:$A$285,A10,'Sleep Detail'!$B$5:$B$285,"Nap")</f>
        <v>4</v>
      </c>
      <c r="M10" s="11" t="n">
        <f aca="false">SUMIFS('Sleep Detail'!$E$5:$E$285,'Sleep Detail'!$A$5:$A$285,A10,'Sleep Detail'!$B$5:$B$285,"Nap")</f>
        <v>2.06666666620083</v>
      </c>
      <c r="N10" s="18" t="n">
        <f aca="false">IF(COUNTIFS('Sleep Detail'!$A$5:$A$285,A10,'Sleep Detail'!$B$5:$B$285,"Night")=0,"",_xlfn.MINIFS('Sleep Detail'!$C$5:$C$285,'Sleep Detail'!$A$5:$A$285,A10,'Sleep Detail'!$B$5:$B$285,"Night"))</f>
        <v>46254.0194444444</v>
      </c>
      <c r="O10" s="18" t="n">
        <f aca="false">IF(COUNTIFS('Sleep Detail'!$A$5:$A$285,A10,'Sleep Detail'!$B$5:$B$285,"Night")=0,"",_xlfn.MAXIFS('Sleep Detail'!$D$5:$D$285,'Sleep Detail'!$A$5:$A$285,A10,'Sleep Detail'!$B$5:$B$285,"Night"))</f>
        <v>46254.3194444445</v>
      </c>
      <c r="P10" s="11" t="n">
        <f aca="false">IF(COUNTIFS('Sleep Detail'!$A$5:$A$285,A10,'Sleep Detail'!$B$5:$B$285,"Night")=0,"",SUMIFS('Sleep Detail'!$E$5:$E$285,'Sleep Detail'!$A$5:$A$285,A10,'Sleep Detail'!$B$5:$B$285,"Night"))</f>
        <v>7.2</v>
      </c>
      <c r="Q10" s="11" t="n">
        <f aca="false">IF(P10="","",M10+P10)</f>
        <v>9.26666666620083</v>
      </c>
      <c r="R10" s="19" t="n">
        <f aca="false">COUNTIFS('Raw Log'!$F$5:$F$1538,A10,'Raw Log'!$B$5:$B$1538,"Medicine")</f>
        <v>3</v>
      </c>
      <c r="S10" s="11" t="n">
        <f aca="false">IF(N10="","",MOD(N10-0.5,1)*24)</f>
        <v>12.4666666666162</v>
      </c>
      <c r="T10" s="18" t="n">
        <f aca="false">IF(O10="","",MOD(O10,1))</f>
        <v>0.319444444452529</v>
      </c>
    </row>
    <row r="11" customFormat="false" ht="15" hidden="false" customHeight="false" outlineLevel="0" collapsed="false">
      <c r="A11" s="26" t="n">
        <v>46254</v>
      </c>
      <c r="B11" s="27" t="n">
        <f aca="false">A11-WEEKDAY(A11,3)</f>
        <v>46251</v>
      </c>
      <c r="C11" s="19" t="s">
        <v>40</v>
      </c>
      <c r="D11" s="19" t="n">
        <f aca="false">COUNTIFS('Raw Log'!$F$5:$F$1538,A11,'Raw Log'!$B$5:$B$1538,"Feed")</f>
        <v>6</v>
      </c>
      <c r="E11" s="19" t="n">
        <f aca="false">COUNTIFS('Raw Log'!$F$5:$F$1538,A11,'Raw Log'!$B$5:$B$1538,"Feed",'Raw Log'!$C$5:$C$1538,"&gt;0")</f>
        <v>0</v>
      </c>
      <c r="F11" s="19" t="str">
        <f aca="false">IF(E11=0,"",SUMIFS('Raw Log'!$C$5:$C$1538,'Raw Log'!$F$5:$F$1538,A11,'Raw Log'!$B$5:$B$1538,"Feed"))</f>
        <v/>
      </c>
      <c r="G11" s="11" t="str">
        <f aca="false">IF(E11=0,"",F11/E11)</f>
        <v/>
      </c>
      <c r="H11" s="19" t="str">
        <f aca="false">IF(K11=J11,"",COUNTIFS('Raw Log'!$F$5:$F$1538,A11,'Raw Log'!$B$5:$B$1538,"Diaper",'Raw Log'!$D$5:$D$1538,"Pee")+COUNTIFS('Raw Log'!$F$5:$F$1538,A11,'Raw Log'!$B$5:$B$1538,"Diaper",'Raw Log'!$D$5:$D$1538,"Both"))</f>
        <v/>
      </c>
      <c r="I11" s="19" t="str">
        <f aca="false">IF(K11=J11,"",COUNTIFS('Raw Log'!$F$5:$F$1538,A11,'Raw Log'!$B$5:$B$1538,"Diaper",'Raw Log'!$D$5:$D$1538,"Poop")+COUNTIFS('Raw Log'!$F$5:$F$1538,A11,'Raw Log'!$B$5:$B$1538,"Diaper",'Raw Log'!$D$5:$D$1538,"Both"))</f>
        <v/>
      </c>
      <c r="J11" s="19" t="n">
        <f aca="false">COUNTIFS('Raw Log'!$F$5:$F$1538,A11,'Raw Log'!$B$5:$B$1538,"Diaper")</f>
        <v>5</v>
      </c>
      <c r="K11" s="19" t="n">
        <f aca="false">J11-COUNTIFS('Raw Log'!$F$5:$F$1538,A11,'Raw Log'!$B$5:$B$1538,"Diaper",'Raw Log'!$D$5:$D$1538,"Pee")-COUNTIFS('Raw Log'!$F$5:$F$1538,A11,'Raw Log'!$B$5:$B$1538,"Diaper",'Raw Log'!$D$5:$D$1538,"Poop")-COUNTIFS('Raw Log'!$F$5:$F$1538,A11,'Raw Log'!$B$5:$B$1538,"Diaper",'Raw Log'!$D$5:$D$1538,"Both")</f>
        <v>5</v>
      </c>
      <c r="L11" s="19" t="n">
        <f aca="false">COUNTIFS('Sleep Detail'!$A$5:$A$285,A11,'Sleep Detail'!$B$5:$B$285,"Nap")</f>
        <v>2</v>
      </c>
      <c r="M11" s="11" t="n">
        <f aca="false">SUMIFS('Sleep Detail'!$E$5:$E$285,'Sleep Detail'!$A$5:$A$285,A11,'Sleep Detail'!$B$5:$B$285,"Nap")</f>
        <v>1.16666666666667</v>
      </c>
      <c r="N11" s="18" t="n">
        <f aca="false">IF(COUNTIFS('Sleep Detail'!$A$5:$A$285,A11,'Sleep Detail'!$B$5:$B$285,"Night")=0,"",_xlfn.MINIFS('Sleep Detail'!$C$5:$C$285,'Sleep Detail'!$A$5:$A$285,A11,'Sleep Detail'!$B$5:$B$285,"Night"))</f>
        <v>46255.0305555556</v>
      </c>
      <c r="O11" s="18" t="n">
        <f aca="false">IF(COUNTIFS('Sleep Detail'!$A$5:$A$285,A11,'Sleep Detail'!$B$5:$B$285,"Night")=0,"",_xlfn.MAXIFS('Sleep Detail'!$D$5:$D$285,'Sleep Detail'!$A$5:$A$285,A11,'Sleep Detail'!$B$5:$B$285,"Night"))</f>
        <v>46255.3645833333</v>
      </c>
      <c r="P11" s="11" t="n">
        <f aca="false">IF(COUNTIFS('Sleep Detail'!$A$5:$A$285,A11,'Sleep Detail'!$B$5:$B$285,"Night")=0,"",SUMIFS('Sleep Detail'!$E$5:$E$285,'Sleep Detail'!$A$5:$A$285,A11,'Sleep Detail'!$B$5:$B$285,"Night"))</f>
        <v>8.01666666695361</v>
      </c>
      <c r="Q11" s="11" t="n">
        <f aca="false">IF(P11="","",M11+P11)</f>
        <v>9.18333333362028</v>
      </c>
      <c r="R11" s="19" t="n">
        <f aca="false">COUNTIFS('Raw Log'!$F$5:$F$1538,A11,'Raw Log'!$B$5:$B$1538,"Medicine")</f>
        <v>3</v>
      </c>
      <c r="S11" s="11" t="n">
        <f aca="false">IF(N11="","",MOD(N11-0.5,1)*24)</f>
        <v>12.733333333279</v>
      </c>
      <c r="T11" s="18" t="n">
        <f aca="false">IF(O11="","",MOD(O11,1))</f>
        <v>0.364583333343035</v>
      </c>
    </row>
    <row r="12" customFormat="false" ht="15" hidden="false" customHeight="false" outlineLevel="0" collapsed="false">
      <c r="A12" s="26" t="n">
        <v>46255</v>
      </c>
      <c r="B12" s="27" t="n">
        <f aca="false">A12-WEEKDAY(A12,3)</f>
        <v>46251</v>
      </c>
      <c r="C12" s="19" t="s">
        <v>40</v>
      </c>
      <c r="D12" s="19" t="n">
        <f aca="false">COUNTIFS('Raw Log'!$F$5:$F$1538,A12,'Raw Log'!$B$5:$B$1538,"Feed")</f>
        <v>5</v>
      </c>
      <c r="E12" s="19" t="n">
        <f aca="false">COUNTIFS('Raw Log'!$F$5:$F$1538,A12,'Raw Log'!$B$5:$B$1538,"Feed",'Raw Log'!$C$5:$C$1538,"&gt;0")</f>
        <v>0</v>
      </c>
      <c r="F12" s="19" t="str">
        <f aca="false">IF(E12=0,"",SUMIFS('Raw Log'!$C$5:$C$1538,'Raw Log'!$F$5:$F$1538,A12,'Raw Log'!$B$5:$B$1538,"Feed"))</f>
        <v/>
      </c>
      <c r="G12" s="11" t="str">
        <f aca="false">IF(E12=0,"",F12/E12)</f>
        <v/>
      </c>
      <c r="H12" s="19" t="str">
        <f aca="false">IF(K12=J12,"",COUNTIFS('Raw Log'!$F$5:$F$1538,A12,'Raw Log'!$B$5:$B$1538,"Diaper",'Raw Log'!$D$5:$D$1538,"Pee")+COUNTIFS('Raw Log'!$F$5:$F$1538,A12,'Raw Log'!$B$5:$B$1538,"Diaper",'Raw Log'!$D$5:$D$1538,"Both"))</f>
        <v/>
      </c>
      <c r="I12" s="19" t="str">
        <f aca="false">IF(K12=J12,"",COUNTIFS('Raw Log'!$F$5:$F$1538,A12,'Raw Log'!$B$5:$B$1538,"Diaper",'Raw Log'!$D$5:$D$1538,"Poop")+COUNTIFS('Raw Log'!$F$5:$F$1538,A12,'Raw Log'!$B$5:$B$1538,"Diaper",'Raw Log'!$D$5:$D$1538,"Both"))</f>
        <v/>
      </c>
      <c r="J12" s="19" t="n">
        <f aca="false">COUNTIFS('Raw Log'!$F$5:$F$1538,A12,'Raw Log'!$B$5:$B$1538,"Diaper")</f>
        <v>6</v>
      </c>
      <c r="K12" s="19" t="n">
        <f aca="false">J12-COUNTIFS('Raw Log'!$F$5:$F$1538,A12,'Raw Log'!$B$5:$B$1538,"Diaper",'Raw Log'!$D$5:$D$1538,"Pee")-COUNTIFS('Raw Log'!$F$5:$F$1538,A12,'Raw Log'!$B$5:$B$1538,"Diaper",'Raw Log'!$D$5:$D$1538,"Poop")-COUNTIFS('Raw Log'!$F$5:$F$1538,A12,'Raw Log'!$B$5:$B$1538,"Diaper",'Raw Log'!$D$5:$D$1538,"Both")</f>
        <v>6</v>
      </c>
      <c r="L12" s="19" t="n">
        <f aca="false">COUNTIFS('Sleep Detail'!$A$5:$A$285,A12,'Sleep Detail'!$B$5:$B$285,"Nap")</f>
        <v>2</v>
      </c>
      <c r="M12" s="11" t="n">
        <f aca="false">SUMIFS('Sleep Detail'!$E$5:$E$285,'Sleep Detail'!$A$5:$A$285,A12,'Sleep Detail'!$B$5:$B$285,"Nap")</f>
        <v>2.8</v>
      </c>
      <c r="N12" s="18" t="n">
        <f aca="false">IF(COUNTIFS('Sleep Detail'!$A$5:$A$285,A12,'Sleep Detail'!$B$5:$B$285,"Night")=0,"",_xlfn.MINIFS('Sleep Detail'!$C$5:$C$285,'Sleep Detail'!$A$5:$A$285,A12,'Sleep Detail'!$B$5:$B$285,"Night"))</f>
        <v>46256.0694444445</v>
      </c>
      <c r="O12" s="18" t="n">
        <f aca="false">IF(COUNTIFS('Sleep Detail'!$A$5:$A$285,A12,'Sleep Detail'!$B$5:$B$285,"Night")=0,"",_xlfn.MAXIFS('Sleep Detail'!$D$5:$D$285,'Sleep Detail'!$A$5:$A$285,A12,'Sleep Detail'!$B$5:$B$285,"Night"))</f>
        <v>46256.3340277778</v>
      </c>
      <c r="P12" s="11" t="n">
        <f aca="false">IF(COUNTIFS('Sleep Detail'!$A$5:$A$285,A12,'Sleep Detail'!$B$5:$B$285,"Night")=0,"",SUMIFS('Sleep Detail'!$E$5:$E$285,'Sleep Detail'!$A$5:$A$285,A12,'Sleep Detail'!$B$5:$B$285,"Night"))</f>
        <v>6.35</v>
      </c>
      <c r="Q12" s="11" t="n">
        <f aca="false">IF(P12="","",M12+P12)</f>
        <v>9.15</v>
      </c>
      <c r="R12" s="19" t="n">
        <f aca="false">COUNTIFS('Raw Log'!$F$5:$F$1538,A12,'Raw Log'!$B$5:$B$1538,"Medicine")</f>
        <v>3</v>
      </c>
      <c r="S12" s="11" t="n">
        <f aca="false">IF(N12="","",MOD(N12-0.5,1)*24)</f>
        <v>13.6666666666861</v>
      </c>
      <c r="T12" s="18" t="n">
        <f aca="false">IF(O12="","",MOD(O12,1))</f>
        <v>0.334027777782467</v>
      </c>
    </row>
    <row r="13" customFormat="false" ht="15" hidden="false" customHeight="false" outlineLevel="0" collapsed="false">
      <c r="A13" s="26" t="n">
        <v>46256</v>
      </c>
      <c r="B13" s="27" t="n">
        <f aca="false">A13-WEEKDAY(A13,3)</f>
        <v>46251</v>
      </c>
      <c r="C13" s="19" t="s">
        <v>40</v>
      </c>
      <c r="D13" s="19" t="n">
        <f aca="false">COUNTIFS('Raw Log'!$F$5:$F$1538,A13,'Raw Log'!$B$5:$B$1538,"Feed")</f>
        <v>6</v>
      </c>
      <c r="E13" s="19" t="n">
        <f aca="false">COUNTIFS('Raw Log'!$F$5:$F$1538,A13,'Raw Log'!$B$5:$B$1538,"Feed",'Raw Log'!$C$5:$C$1538,"&gt;0")</f>
        <v>0</v>
      </c>
      <c r="F13" s="19" t="str">
        <f aca="false">IF(E13=0,"",SUMIFS('Raw Log'!$C$5:$C$1538,'Raw Log'!$F$5:$F$1538,A13,'Raw Log'!$B$5:$B$1538,"Feed"))</f>
        <v/>
      </c>
      <c r="G13" s="11" t="str">
        <f aca="false">IF(E13=0,"",F13/E13)</f>
        <v/>
      </c>
      <c r="H13" s="19" t="str">
        <f aca="false">IF(K13=J13,"",COUNTIFS('Raw Log'!$F$5:$F$1538,A13,'Raw Log'!$B$5:$B$1538,"Diaper",'Raw Log'!$D$5:$D$1538,"Pee")+COUNTIFS('Raw Log'!$F$5:$F$1538,A13,'Raw Log'!$B$5:$B$1538,"Diaper",'Raw Log'!$D$5:$D$1538,"Both"))</f>
        <v/>
      </c>
      <c r="I13" s="19" t="str">
        <f aca="false">IF(K13=J13,"",COUNTIFS('Raw Log'!$F$5:$F$1538,A13,'Raw Log'!$B$5:$B$1538,"Diaper",'Raw Log'!$D$5:$D$1538,"Poop")+COUNTIFS('Raw Log'!$F$5:$F$1538,A13,'Raw Log'!$B$5:$B$1538,"Diaper",'Raw Log'!$D$5:$D$1538,"Both"))</f>
        <v/>
      </c>
      <c r="J13" s="19" t="n">
        <f aca="false">COUNTIFS('Raw Log'!$F$5:$F$1538,A13,'Raw Log'!$B$5:$B$1538,"Diaper")</f>
        <v>5</v>
      </c>
      <c r="K13" s="19" t="n">
        <f aca="false">J13-COUNTIFS('Raw Log'!$F$5:$F$1538,A13,'Raw Log'!$B$5:$B$1538,"Diaper",'Raw Log'!$D$5:$D$1538,"Pee")-COUNTIFS('Raw Log'!$F$5:$F$1538,A13,'Raw Log'!$B$5:$B$1538,"Diaper",'Raw Log'!$D$5:$D$1538,"Poop")-COUNTIFS('Raw Log'!$F$5:$F$1538,A13,'Raw Log'!$B$5:$B$1538,"Diaper",'Raw Log'!$D$5:$D$1538,"Both")</f>
        <v>5</v>
      </c>
      <c r="L13" s="19" t="n">
        <f aca="false">COUNTIFS('Sleep Detail'!$A$5:$A$285,A13,'Sleep Detail'!$B$5:$B$285,"Nap")</f>
        <v>6</v>
      </c>
      <c r="M13" s="11" t="n">
        <f aca="false">SUMIFS('Sleep Detail'!$E$5:$E$285,'Sleep Detail'!$A$5:$A$285,A13,'Sleep Detail'!$B$5:$B$285,"Nap")</f>
        <v>5</v>
      </c>
      <c r="N13" s="18" t="str">
        <f aca="false">IF(COUNTIFS('Sleep Detail'!$A$5:$A$285,A13,'Sleep Detail'!$B$5:$B$285,"Night")=0,"",_xlfn.MINIFS('Sleep Detail'!$C$5:$C$285,'Sleep Detail'!$A$5:$A$285,A13,'Sleep Detail'!$B$5:$B$285,"Night"))</f>
        <v/>
      </c>
      <c r="O13" s="18" t="str">
        <f aca="false">IF(COUNTIFS('Sleep Detail'!$A$5:$A$285,A13,'Sleep Detail'!$B$5:$B$285,"Night")=0,"",_xlfn.MAXIFS('Sleep Detail'!$D$5:$D$285,'Sleep Detail'!$A$5:$A$285,A13,'Sleep Detail'!$B$5:$B$285,"Night"))</f>
        <v/>
      </c>
      <c r="P13" s="11" t="str">
        <f aca="false">IF(COUNTIFS('Sleep Detail'!$A$5:$A$285,A13,'Sleep Detail'!$B$5:$B$285,"Night")=0,"",SUMIFS('Sleep Detail'!$E$5:$E$285,'Sleep Detail'!$A$5:$A$285,A13,'Sleep Detail'!$B$5:$B$285,"Night"))</f>
        <v/>
      </c>
      <c r="Q13" s="11" t="str">
        <f aca="false">IF(P13="","",M13+P13)</f>
        <v/>
      </c>
      <c r="R13" s="19" t="n">
        <f aca="false">COUNTIFS('Raw Log'!$F$5:$F$1538,A13,'Raw Log'!$B$5:$B$1538,"Medicine")</f>
        <v>3</v>
      </c>
      <c r="S13" s="11" t="str">
        <f aca="false">IF(N13="","",MOD(N13-0.5,1)*24)</f>
        <v/>
      </c>
      <c r="T13" s="18" t="str">
        <f aca="false">IF(O13="","",MOD(O13,1))</f>
        <v/>
      </c>
    </row>
    <row r="14" customFormat="false" ht="15" hidden="false" customHeight="false" outlineLevel="0" collapsed="false">
      <c r="A14" s="26" t="n">
        <v>46257</v>
      </c>
      <c r="B14" s="27" t="n">
        <f aca="false">A14-WEEKDAY(A14,3)</f>
        <v>46251</v>
      </c>
      <c r="C14" s="19" t="s">
        <v>40</v>
      </c>
      <c r="D14" s="19" t="n">
        <f aca="false">COUNTIFS('Raw Log'!$F$5:$F$1538,A14,'Raw Log'!$B$5:$B$1538,"Feed")</f>
        <v>6</v>
      </c>
      <c r="E14" s="19" t="n">
        <f aca="false">COUNTIFS('Raw Log'!$F$5:$F$1538,A14,'Raw Log'!$B$5:$B$1538,"Feed",'Raw Log'!$C$5:$C$1538,"&gt;0")</f>
        <v>0</v>
      </c>
      <c r="F14" s="19" t="str">
        <f aca="false">IF(E14=0,"",SUMIFS('Raw Log'!$C$5:$C$1538,'Raw Log'!$F$5:$F$1538,A14,'Raw Log'!$B$5:$B$1538,"Feed"))</f>
        <v/>
      </c>
      <c r="G14" s="11" t="str">
        <f aca="false">IF(E14=0,"",F14/E14)</f>
        <v/>
      </c>
      <c r="H14" s="19" t="str">
        <f aca="false">IF(K14=J14,"",COUNTIFS('Raw Log'!$F$5:$F$1538,A14,'Raw Log'!$B$5:$B$1538,"Diaper",'Raw Log'!$D$5:$D$1538,"Pee")+COUNTIFS('Raw Log'!$F$5:$F$1538,A14,'Raw Log'!$B$5:$B$1538,"Diaper",'Raw Log'!$D$5:$D$1538,"Both"))</f>
        <v/>
      </c>
      <c r="I14" s="19" t="str">
        <f aca="false">IF(K14=J14,"",COUNTIFS('Raw Log'!$F$5:$F$1538,A14,'Raw Log'!$B$5:$B$1538,"Diaper",'Raw Log'!$D$5:$D$1538,"Poop")+COUNTIFS('Raw Log'!$F$5:$F$1538,A14,'Raw Log'!$B$5:$B$1538,"Diaper",'Raw Log'!$D$5:$D$1538,"Both"))</f>
        <v/>
      </c>
      <c r="J14" s="19" t="n">
        <f aca="false">COUNTIFS('Raw Log'!$F$5:$F$1538,A14,'Raw Log'!$B$5:$B$1538,"Diaper")</f>
        <v>6</v>
      </c>
      <c r="K14" s="19" t="n">
        <f aca="false">J14-COUNTIFS('Raw Log'!$F$5:$F$1538,A14,'Raw Log'!$B$5:$B$1538,"Diaper",'Raw Log'!$D$5:$D$1538,"Pee")-COUNTIFS('Raw Log'!$F$5:$F$1538,A14,'Raw Log'!$B$5:$B$1538,"Diaper",'Raw Log'!$D$5:$D$1538,"Poop")-COUNTIFS('Raw Log'!$F$5:$F$1538,A14,'Raw Log'!$B$5:$B$1538,"Diaper",'Raw Log'!$D$5:$D$1538,"Both")</f>
        <v>6</v>
      </c>
      <c r="L14" s="19" t="n">
        <f aca="false">COUNTIFS('Sleep Detail'!$A$5:$A$285,A14,'Sleep Detail'!$B$5:$B$285,"Nap")</f>
        <v>2</v>
      </c>
      <c r="M14" s="11" t="n">
        <f aca="false">SUMIFS('Sleep Detail'!$E$5:$E$285,'Sleep Detail'!$A$5:$A$285,A14,'Sleep Detail'!$B$5:$B$285,"Nap")</f>
        <v>2.25</v>
      </c>
      <c r="N14" s="18" t="n">
        <f aca="false">IF(COUNTIFS('Sleep Detail'!$A$5:$A$285,A14,'Sleep Detail'!$B$5:$B$285,"Night")=0,"",_xlfn.MINIFS('Sleep Detail'!$C$5:$C$285,'Sleep Detail'!$A$5:$A$285,A14,'Sleep Detail'!$B$5:$B$285,"Night"))</f>
        <v>46258.0263888889</v>
      </c>
      <c r="O14" s="18" t="n">
        <f aca="false">IF(COUNTIFS('Sleep Detail'!$A$5:$A$285,A14,'Sleep Detail'!$B$5:$B$285,"Night")=0,"",_xlfn.MAXIFS('Sleep Detail'!$D$5:$D$285,'Sleep Detail'!$A$5:$A$285,A14,'Sleep Detail'!$B$5:$B$285,"Night"))</f>
        <v>46258.2326388889</v>
      </c>
      <c r="P14" s="11" t="n">
        <f aca="false">IF(COUNTIFS('Sleep Detail'!$A$5:$A$285,A14,'Sleep Detail'!$B$5:$B$285,"Night")=0,"",SUMIFS('Sleep Detail'!$E$5:$E$285,'Sleep Detail'!$A$5:$A$285,A14,'Sleep Detail'!$B$5:$B$285,"Night"))</f>
        <v>4.95</v>
      </c>
      <c r="Q14" s="11" t="n">
        <f aca="false">IF(P14="","",M14+P14)</f>
        <v>7.2</v>
      </c>
      <c r="R14" s="19" t="n">
        <f aca="false">COUNTIFS('Raw Log'!$F$5:$F$1538,A14,'Raw Log'!$B$5:$B$1538,"Medicine")</f>
        <v>3</v>
      </c>
      <c r="S14" s="11" t="n">
        <f aca="false">IF(N14="","",MOD(N14-0.5,1)*24)</f>
        <v>12.6333333333023</v>
      </c>
      <c r="T14" s="18" t="n">
        <f aca="false">IF(O14="","",MOD(O14,1))</f>
        <v>0.232638888890506</v>
      </c>
    </row>
    <row r="15" customFormat="false" ht="15" hidden="false" customHeight="false" outlineLevel="0" collapsed="false">
      <c r="A15" s="26" t="n">
        <v>46258</v>
      </c>
      <c r="B15" s="27" t="n">
        <f aca="false">A15-WEEKDAY(A15,3)</f>
        <v>46258</v>
      </c>
      <c r="C15" s="19" t="s">
        <v>40</v>
      </c>
      <c r="D15" s="19" t="n">
        <f aca="false">COUNTIFS('Raw Log'!$F$5:$F$1538,A15,'Raw Log'!$B$5:$B$1538,"Feed")</f>
        <v>6</v>
      </c>
      <c r="E15" s="19" t="n">
        <f aca="false">COUNTIFS('Raw Log'!$F$5:$F$1538,A15,'Raw Log'!$B$5:$B$1538,"Feed",'Raw Log'!$C$5:$C$1538,"&gt;0")</f>
        <v>1</v>
      </c>
      <c r="F15" s="19" t="n">
        <f aca="false">IF(E15=0,"",SUMIFS('Raw Log'!$C$5:$C$1538,'Raw Log'!$F$5:$F$1538,A15,'Raw Log'!$B$5:$B$1538,"Feed"))</f>
        <v>4</v>
      </c>
      <c r="G15" s="11" t="n">
        <f aca="false">IF(E15=0,"",F15/E15)</f>
        <v>4</v>
      </c>
      <c r="H15" s="19" t="n">
        <f aca="false">IF(K15=J15,"",COUNTIFS('Raw Log'!$F$5:$F$1538,A15,'Raw Log'!$B$5:$B$1538,"Diaper",'Raw Log'!$D$5:$D$1538,"Pee")+COUNTIFS('Raw Log'!$F$5:$F$1538,A15,'Raw Log'!$B$5:$B$1538,"Diaper",'Raw Log'!$D$5:$D$1538,"Both"))</f>
        <v>1</v>
      </c>
      <c r="I15" s="19" t="n">
        <f aca="false">IF(K15=J15,"",COUNTIFS('Raw Log'!$F$5:$F$1538,A15,'Raw Log'!$B$5:$B$1538,"Diaper",'Raw Log'!$D$5:$D$1538,"Poop")+COUNTIFS('Raw Log'!$F$5:$F$1538,A15,'Raw Log'!$B$5:$B$1538,"Diaper",'Raw Log'!$D$5:$D$1538,"Both"))</f>
        <v>0</v>
      </c>
      <c r="J15" s="19" t="n">
        <f aca="false">COUNTIFS('Raw Log'!$F$5:$F$1538,A15,'Raw Log'!$B$5:$B$1538,"Diaper")</f>
        <v>6</v>
      </c>
      <c r="K15" s="19" t="n">
        <f aca="false">J15-COUNTIFS('Raw Log'!$F$5:$F$1538,A15,'Raw Log'!$B$5:$B$1538,"Diaper",'Raw Log'!$D$5:$D$1538,"Pee")-COUNTIFS('Raw Log'!$F$5:$F$1538,A15,'Raw Log'!$B$5:$B$1538,"Diaper",'Raw Log'!$D$5:$D$1538,"Poop")-COUNTIFS('Raw Log'!$F$5:$F$1538,A15,'Raw Log'!$B$5:$B$1538,"Diaper",'Raw Log'!$D$5:$D$1538,"Both")</f>
        <v>5</v>
      </c>
      <c r="L15" s="19" t="n">
        <f aca="false">COUNTIFS('Sleep Detail'!$A$5:$A$285,A15,'Sleep Detail'!$B$5:$B$285,"Nap")</f>
        <v>5</v>
      </c>
      <c r="M15" s="11" t="n">
        <f aca="false">SUMIFS('Sleep Detail'!$E$5:$E$285,'Sleep Detail'!$A$5:$A$285,A15,'Sleep Detail'!$B$5:$B$285,"Nap")</f>
        <v>4.08333333333333</v>
      </c>
      <c r="N15" s="18" t="n">
        <f aca="false">IF(COUNTIFS('Sleep Detail'!$A$5:$A$285,A15,'Sleep Detail'!$B$5:$B$285,"Night")=0,"",_xlfn.MINIFS('Sleep Detail'!$C$5:$C$285,'Sleep Detail'!$A$5:$A$285,A15,'Sleep Detail'!$B$5:$B$285,"Night"))</f>
        <v>46259.0208333333</v>
      </c>
      <c r="O15" s="18" t="n">
        <f aca="false">IF(COUNTIFS('Sleep Detail'!$A$5:$A$285,A15,'Sleep Detail'!$B$5:$B$285,"Night")=0,"",_xlfn.MAXIFS('Sleep Detail'!$D$5:$D$285,'Sleep Detail'!$A$5:$A$285,A15,'Sleep Detail'!$B$5:$B$285,"Night"))</f>
        <v>46259.2930555556</v>
      </c>
      <c r="P15" s="11" t="n">
        <f aca="false">IF(COUNTIFS('Sleep Detail'!$A$5:$A$285,A15,'Sleep Detail'!$B$5:$B$285,"Night")=0,"",SUMIFS('Sleep Detail'!$E$5:$E$285,'Sleep Detail'!$A$5:$A$285,A15,'Sleep Detail'!$B$5:$B$285,"Night"))</f>
        <v>6.53333333333333</v>
      </c>
      <c r="Q15" s="11" t="n">
        <f aca="false">IF(P15="","",M15+P15)</f>
        <v>10.6166666666667</v>
      </c>
      <c r="R15" s="19" t="n">
        <f aca="false">COUNTIFS('Raw Log'!$F$5:$F$1538,A15,'Raw Log'!$B$5:$B$1538,"Medicine")</f>
        <v>2</v>
      </c>
      <c r="S15" s="11" t="n">
        <f aca="false">IF(N15="","",MOD(N15-0.5,1)*24)</f>
        <v>12.5000000000582</v>
      </c>
      <c r="T15" s="18" t="n">
        <f aca="false">IF(O15="","",MOD(O15,1))</f>
        <v>0.293055555557658</v>
      </c>
    </row>
    <row r="16" customFormat="false" ht="15" hidden="false" customHeight="false" outlineLevel="0" collapsed="false">
      <c r="A16" s="26" t="n">
        <v>46259</v>
      </c>
      <c r="B16" s="27" t="n">
        <f aca="false">A16-WEEKDAY(A16,3)</f>
        <v>46258</v>
      </c>
      <c r="C16" s="19" t="s">
        <v>40</v>
      </c>
      <c r="D16" s="19" t="n">
        <f aca="false">COUNTIFS('Raw Log'!$F$5:$F$1538,A16,'Raw Log'!$B$5:$B$1538,"Feed")</f>
        <v>5</v>
      </c>
      <c r="E16" s="19" t="n">
        <f aca="false">COUNTIFS('Raw Log'!$F$5:$F$1538,A16,'Raw Log'!$B$5:$B$1538,"Feed",'Raw Log'!$C$5:$C$1538,"&gt;0")</f>
        <v>4</v>
      </c>
      <c r="F16" s="19" t="n">
        <f aca="false">IF(E16=0,"",SUMIFS('Raw Log'!$C$5:$C$1538,'Raw Log'!$F$5:$F$1538,A16,'Raw Log'!$B$5:$B$1538,"Feed"))</f>
        <v>16</v>
      </c>
      <c r="G16" s="11" t="n">
        <f aca="false">IF(E16=0,"",F16/E16)</f>
        <v>4</v>
      </c>
      <c r="H16" s="19" t="n">
        <f aca="false">IF(K16=J16,"",COUNTIFS('Raw Log'!$F$5:$F$1538,A16,'Raw Log'!$B$5:$B$1538,"Diaper",'Raw Log'!$D$5:$D$1538,"Pee")+COUNTIFS('Raw Log'!$F$5:$F$1538,A16,'Raw Log'!$B$5:$B$1538,"Diaper",'Raw Log'!$D$5:$D$1538,"Both"))</f>
        <v>5</v>
      </c>
      <c r="I16" s="19" t="n">
        <f aca="false">IF(K16=J16,"",COUNTIFS('Raw Log'!$F$5:$F$1538,A16,'Raw Log'!$B$5:$B$1538,"Diaper",'Raw Log'!$D$5:$D$1538,"Poop")+COUNTIFS('Raw Log'!$F$5:$F$1538,A16,'Raw Log'!$B$5:$B$1538,"Diaper",'Raw Log'!$D$5:$D$1538,"Both"))</f>
        <v>0</v>
      </c>
      <c r="J16" s="19" t="n">
        <f aca="false">COUNTIFS('Raw Log'!$F$5:$F$1538,A16,'Raw Log'!$B$5:$B$1538,"Diaper")</f>
        <v>6</v>
      </c>
      <c r="K16" s="19" t="n">
        <f aca="false">J16-COUNTIFS('Raw Log'!$F$5:$F$1538,A16,'Raw Log'!$B$5:$B$1538,"Diaper",'Raw Log'!$D$5:$D$1538,"Pee")-COUNTIFS('Raw Log'!$F$5:$F$1538,A16,'Raw Log'!$B$5:$B$1538,"Diaper",'Raw Log'!$D$5:$D$1538,"Poop")-COUNTIFS('Raw Log'!$F$5:$F$1538,A16,'Raw Log'!$B$5:$B$1538,"Diaper",'Raw Log'!$D$5:$D$1538,"Both")</f>
        <v>1</v>
      </c>
      <c r="L16" s="19" t="n">
        <f aca="false">COUNTIFS('Sleep Detail'!$A$5:$A$285,A16,'Sleep Detail'!$B$5:$B$285,"Nap")</f>
        <v>4</v>
      </c>
      <c r="M16" s="11" t="n">
        <f aca="false">SUMIFS('Sleep Detail'!$E$5:$E$285,'Sleep Detail'!$A$5:$A$285,A16,'Sleep Detail'!$B$5:$B$285,"Nap")</f>
        <v>1.99999999957306</v>
      </c>
      <c r="N16" s="18" t="n">
        <f aca="false">IF(COUNTIFS('Sleep Detail'!$A$5:$A$285,A16,'Sleep Detail'!$B$5:$B$285,"Night")=0,"",_xlfn.MINIFS('Sleep Detail'!$C$5:$C$285,'Sleep Detail'!$A$5:$A$285,A16,'Sleep Detail'!$B$5:$B$285,"Night"))</f>
        <v>46260.0020833333</v>
      </c>
      <c r="O16" s="18" t="n">
        <f aca="false">IF(COUNTIFS('Sleep Detail'!$A$5:$A$285,A16,'Sleep Detail'!$B$5:$B$285,"Night")=0,"",_xlfn.MAXIFS('Sleep Detail'!$D$5:$D$285,'Sleep Detail'!$A$5:$A$285,A16,'Sleep Detail'!$B$5:$B$285,"Night"))</f>
        <v>46260.2520833333</v>
      </c>
      <c r="P16" s="11" t="n">
        <f aca="false">IF(COUNTIFS('Sleep Detail'!$A$5:$A$285,A16,'Sleep Detail'!$B$5:$B$285,"Night")=0,"",SUMIFS('Sleep Detail'!$E$5:$E$285,'Sleep Detail'!$A$5:$A$285,A16,'Sleep Detail'!$B$5:$B$285,"Night"))</f>
        <v>6</v>
      </c>
      <c r="Q16" s="11" t="n">
        <f aca="false">IF(P16="","",M16+P16)</f>
        <v>7.99999999957306</v>
      </c>
      <c r="R16" s="19" t="n">
        <f aca="false">COUNTIFS('Raw Log'!$F$5:$F$1538,A16,'Raw Log'!$B$5:$B$1538,"Medicine")</f>
        <v>3</v>
      </c>
      <c r="S16" s="11" t="n">
        <f aca="false">IF(N16="","",MOD(N16-0.5,1)*24)</f>
        <v>12.0499999999884</v>
      </c>
      <c r="T16" s="18" t="n">
        <f aca="false">IF(O16="","",MOD(O16,1))</f>
        <v>0.252083333332848</v>
      </c>
    </row>
    <row r="17" customFormat="false" ht="15" hidden="false" customHeight="false" outlineLevel="0" collapsed="false">
      <c r="A17" s="26" t="n">
        <v>46260</v>
      </c>
      <c r="B17" s="27" t="n">
        <f aca="false">A17-WEEKDAY(A17,3)</f>
        <v>46258</v>
      </c>
      <c r="C17" s="19" t="s">
        <v>40</v>
      </c>
      <c r="D17" s="19" t="n">
        <f aca="false">COUNTIFS('Raw Log'!$F$5:$F$1538,A17,'Raw Log'!$B$5:$B$1538,"Feed")</f>
        <v>8</v>
      </c>
      <c r="E17" s="19" t="n">
        <f aca="false">COUNTIFS('Raw Log'!$F$5:$F$1538,A17,'Raw Log'!$B$5:$B$1538,"Feed",'Raw Log'!$C$5:$C$1538,"&gt;0")</f>
        <v>8</v>
      </c>
      <c r="F17" s="19" t="n">
        <f aca="false">IF(E17=0,"",SUMIFS('Raw Log'!$C$5:$C$1538,'Raw Log'!$F$5:$F$1538,A17,'Raw Log'!$B$5:$B$1538,"Feed"))</f>
        <v>32</v>
      </c>
      <c r="G17" s="11" t="n">
        <f aca="false">IF(E17=0,"",F17/E17)</f>
        <v>4</v>
      </c>
      <c r="H17" s="19" t="n">
        <f aca="false">IF(K17=J17,"",COUNTIFS('Raw Log'!$F$5:$F$1538,A17,'Raw Log'!$B$5:$B$1538,"Diaper",'Raw Log'!$D$5:$D$1538,"Pee")+COUNTIFS('Raw Log'!$F$5:$F$1538,A17,'Raw Log'!$B$5:$B$1538,"Diaper",'Raw Log'!$D$5:$D$1538,"Both"))</f>
        <v>5</v>
      </c>
      <c r="I17" s="19" t="n">
        <f aca="false">IF(K17=J17,"",COUNTIFS('Raw Log'!$F$5:$F$1538,A17,'Raw Log'!$B$5:$B$1538,"Diaper",'Raw Log'!$D$5:$D$1538,"Poop")+COUNTIFS('Raw Log'!$F$5:$F$1538,A17,'Raw Log'!$B$5:$B$1538,"Diaper",'Raw Log'!$D$5:$D$1538,"Both"))</f>
        <v>1</v>
      </c>
      <c r="J17" s="19" t="n">
        <f aca="false">COUNTIFS('Raw Log'!$F$5:$F$1538,A17,'Raw Log'!$B$5:$B$1538,"Diaper")</f>
        <v>5</v>
      </c>
      <c r="K17" s="19" t="n">
        <f aca="false">J17-COUNTIFS('Raw Log'!$F$5:$F$1538,A17,'Raw Log'!$B$5:$B$1538,"Diaper",'Raw Log'!$D$5:$D$1538,"Pee")-COUNTIFS('Raw Log'!$F$5:$F$1538,A17,'Raw Log'!$B$5:$B$1538,"Diaper",'Raw Log'!$D$5:$D$1538,"Poop")-COUNTIFS('Raw Log'!$F$5:$F$1538,A17,'Raw Log'!$B$5:$B$1538,"Diaper",'Raw Log'!$D$5:$D$1538,"Both")</f>
        <v>0</v>
      </c>
      <c r="L17" s="19" t="n">
        <f aca="false">COUNTIFS('Sleep Detail'!$A$5:$A$285,A17,'Sleep Detail'!$B$5:$B$285,"Nap")</f>
        <v>6</v>
      </c>
      <c r="M17" s="11" t="n">
        <f aca="false">SUMIFS('Sleep Detail'!$E$5:$E$285,'Sleep Detail'!$A$5:$A$285,A17,'Sleep Detail'!$B$5:$B$285,"Nap")</f>
        <v>5.85</v>
      </c>
      <c r="N17" s="18" t="n">
        <f aca="false">IF(COUNTIFS('Sleep Detail'!$A$5:$A$285,A17,'Sleep Detail'!$B$5:$B$285,"Night")=0,"",_xlfn.MINIFS('Sleep Detail'!$C$5:$C$285,'Sleep Detail'!$A$5:$A$285,A17,'Sleep Detail'!$B$5:$B$285,"Night"))</f>
        <v>46261.0451388889</v>
      </c>
      <c r="O17" s="18" t="n">
        <f aca="false">IF(COUNTIFS('Sleep Detail'!$A$5:$A$285,A17,'Sleep Detail'!$B$5:$B$285,"Night")=0,"",_xlfn.MAXIFS('Sleep Detail'!$D$5:$D$285,'Sleep Detail'!$A$5:$A$285,A17,'Sleep Detail'!$B$5:$B$285,"Night"))</f>
        <v>46261.3402777778</v>
      </c>
      <c r="P17" s="11" t="n">
        <f aca="false">IF(COUNTIFS('Sleep Detail'!$A$5:$A$285,A17,'Sleep Detail'!$B$5:$B$285,"Night")=0,"",SUMIFS('Sleep Detail'!$E$5:$E$285,'Sleep Detail'!$A$5:$A$285,A17,'Sleep Detail'!$B$5:$B$285,"Night"))</f>
        <v>7.08333333333333</v>
      </c>
      <c r="Q17" s="11" t="n">
        <f aca="false">IF(P17="","",M17+P17)</f>
        <v>12.9333333333333</v>
      </c>
      <c r="R17" s="19" t="n">
        <f aca="false">COUNTIFS('Raw Log'!$F$5:$F$1538,A17,'Raw Log'!$B$5:$B$1538,"Medicine")</f>
        <v>4</v>
      </c>
      <c r="S17" s="11" t="n">
        <f aca="false">IF(N17="","",MOD(N17-0.5,1)*24)</f>
        <v>13.0833333333721</v>
      </c>
      <c r="T17" s="18" t="n">
        <f aca="false">IF(O17="","",MOD(O17,1))</f>
        <v>0.340277777781012</v>
      </c>
    </row>
    <row r="18" customFormat="false" ht="15" hidden="false" customHeight="false" outlineLevel="0" collapsed="false">
      <c r="A18" s="26" t="n">
        <v>46261</v>
      </c>
      <c r="B18" s="27" t="n">
        <f aca="false">A18-WEEKDAY(A18,3)</f>
        <v>46258</v>
      </c>
      <c r="C18" s="19" t="s">
        <v>40</v>
      </c>
      <c r="D18" s="19" t="n">
        <f aca="false">COUNTIFS('Raw Log'!$F$5:$F$1538,A18,'Raw Log'!$B$5:$B$1538,"Feed")</f>
        <v>6</v>
      </c>
      <c r="E18" s="19" t="n">
        <f aca="false">COUNTIFS('Raw Log'!$F$5:$F$1538,A18,'Raw Log'!$B$5:$B$1538,"Feed",'Raw Log'!$C$5:$C$1538,"&gt;0")</f>
        <v>6</v>
      </c>
      <c r="F18" s="19" t="n">
        <f aca="false">IF(E18=0,"",SUMIFS('Raw Log'!$C$5:$C$1538,'Raw Log'!$F$5:$F$1538,A18,'Raw Log'!$B$5:$B$1538,"Feed"))</f>
        <v>24</v>
      </c>
      <c r="G18" s="11" t="n">
        <f aca="false">IF(E18=0,"",F18/E18)</f>
        <v>4</v>
      </c>
      <c r="H18" s="19" t="n">
        <f aca="false">IF(K18=J18,"",COUNTIFS('Raw Log'!$F$5:$F$1538,A18,'Raw Log'!$B$5:$B$1538,"Diaper",'Raw Log'!$D$5:$D$1538,"Pee")+COUNTIFS('Raw Log'!$F$5:$F$1538,A18,'Raw Log'!$B$5:$B$1538,"Diaper",'Raw Log'!$D$5:$D$1538,"Both"))</f>
        <v>5</v>
      </c>
      <c r="I18" s="19" t="n">
        <f aca="false">IF(K18=J18,"",COUNTIFS('Raw Log'!$F$5:$F$1538,A18,'Raw Log'!$B$5:$B$1538,"Diaper",'Raw Log'!$D$5:$D$1538,"Poop")+COUNTIFS('Raw Log'!$F$5:$F$1538,A18,'Raw Log'!$B$5:$B$1538,"Diaper",'Raw Log'!$D$5:$D$1538,"Both"))</f>
        <v>2</v>
      </c>
      <c r="J18" s="19" t="n">
        <f aca="false">COUNTIFS('Raw Log'!$F$5:$F$1538,A18,'Raw Log'!$B$5:$B$1538,"Diaper")</f>
        <v>7</v>
      </c>
      <c r="K18" s="19" t="n">
        <f aca="false">J18-COUNTIFS('Raw Log'!$F$5:$F$1538,A18,'Raw Log'!$B$5:$B$1538,"Diaper",'Raw Log'!$D$5:$D$1538,"Pee")-COUNTIFS('Raw Log'!$F$5:$F$1538,A18,'Raw Log'!$B$5:$B$1538,"Diaper",'Raw Log'!$D$5:$D$1538,"Poop")-COUNTIFS('Raw Log'!$F$5:$F$1538,A18,'Raw Log'!$B$5:$B$1538,"Diaper",'Raw Log'!$D$5:$D$1538,"Both")</f>
        <v>0</v>
      </c>
      <c r="L18" s="19" t="n">
        <f aca="false">COUNTIFS('Sleep Detail'!$A$5:$A$285,A18,'Sleep Detail'!$B$5:$B$285,"Nap")</f>
        <v>5</v>
      </c>
      <c r="M18" s="11" t="n">
        <f aca="false">SUMIFS('Sleep Detail'!$E$5:$E$285,'Sleep Detail'!$A$5:$A$285,A18,'Sleep Detail'!$B$5:$B$285,"Nap")</f>
        <v>2.71666666666667</v>
      </c>
      <c r="N18" s="18" t="n">
        <f aca="false">IF(COUNTIFS('Sleep Detail'!$A$5:$A$285,A18,'Sleep Detail'!$B$5:$B$285,"Night")=0,"",_xlfn.MINIFS('Sleep Detail'!$C$5:$C$285,'Sleep Detail'!$A$5:$A$285,A18,'Sleep Detail'!$B$5:$B$285,"Night"))</f>
        <v>46262.0083333333</v>
      </c>
      <c r="O18" s="18" t="n">
        <f aca="false">IF(COUNTIFS('Sleep Detail'!$A$5:$A$285,A18,'Sleep Detail'!$B$5:$B$285,"Night")=0,"",_xlfn.MAXIFS('Sleep Detail'!$D$5:$D$285,'Sleep Detail'!$A$5:$A$285,A18,'Sleep Detail'!$B$5:$B$285,"Night"))</f>
        <v>46262.1965277778</v>
      </c>
      <c r="P18" s="11" t="n">
        <f aca="false">IF(COUNTIFS('Sleep Detail'!$A$5:$A$285,A18,'Sleep Detail'!$B$5:$B$285,"Night")=0,"",SUMIFS('Sleep Detail'!$E$5:$E$285,'Sleep Detail'!$A$5:$A$285,A18,'Sleep Detail'!$B$5:$B$285,"Night"))</f>
        <v>4.51666666666667</v>
      </c>
      <c r="Q18" s="11" t="n">
        <f aca="false">IF(P18="","",M18+P18)</f>
        <v>7.23333333333333</v>
      </c>
      <c r="R18" s="19" t="n">
        <f aca="false">COUNTIFS('Raw Log'!$F$5:$F$1538,A18,'Raw Log'!$B$5:$B$1538,"Medicine")</f>
        <v>3</v>
      </c>
      <c r="S18" s="11" t="n">
        <f aca="false">IF(N18="","",MOD(N18-0.5,1)*24)</f>
        <v>12.1999999999534</v>
      </c>
      <c r="T18" s="18" t="n">
        <f aca="false">IF(O18="","",MOD(O18,1))</f>
        <v>0.196527777778101</v>
      </c>
    </row>
    <row r="19" customFormat="false" ht="15" hidden="false" customHeight="false" outlineLevel="0" collapsed="false">
      <c r="A19" s="26" t="n">
        <v>46262</v>
      </c>
      <c r="B19" s="27" t="n">
        <f aca="false">A19-WEEKDAY(A19,3)</f>
        <v>46258</v>
      </c>
      <c r="C19" s="19" t="s">
        <v>40</v>
      </c>
      <c r="D19" s="19" t="n">
        <f aca="false">COUNTIFS('Raw Log'!$F$5:$F$1538,A19,'Raw Log'!$B$5:$B$1538,"Feed")</f>
        <v>6</v>
      </c>
      <c r="E19" s="19" t="n">
        <f aca="false">COUNTIFS('Raw Log'!$F$5:$F$1538,A19,'Raw Log'!$B$5:$B$1538,"Feed",'Raw Log'!$C$5:$C$1538,"&gt;0")</f>
        <v>6</v>
      </c>
      <c r="F19" s="19" t="n">
        <f aca="false">IF(E19=0,"",SUMIFS('Raw Log'!$C$5:$C$1538,'Raw Log'!$F$5:$F$1538,A19,'Raw Log'!$B$5:$B$1538,"Feed"))</f>
        <v>24</v>
      </c>
      <c r="G19" s="11" t="n">
        <f aca="false">IF(E19=0,"",F19/E19)</f>
        <v>4</v>
      </c>
      <c r="H19" s="19" t="n">
        <f aca="false">IF(K19=J19,"",COUNTIFS('Raw Log'!$F$5:$F$1538,A19,'Raw Log'!$B$5:$B$1538,"Diaper",'Raw Log'!$D$5:$D$1538,"Pee")+COUNTIFS('Raw Log'!$F$5:$F$1538,A19,'Raw Log'!$B$5:$B$1538,"Diaper",'Raw Log'!$D$5:$D$1538,"Both"))</f>
        <v>4</v>
      </c>
      <c r="I19" s="19" t="n">
        <f aca="false">IF(K19=J19,"",COUNTIFS('Raw Log'!$F$5:$F$1538,A19,'Raw Log'!$B$5:$B$1538,"Diaper",'Raw Log'!$D$5:$D$1538,"Poop")+COUNTIFS('Raw Log'!$F$5:$F$1538,A19,'Raw Log'!$B$5:$B$1538,"Diaper",'Raw Log'!$D$5:$D$1538,"Both"))</f>
        <v>1</v>
      </c>
      <c r="J19" s="19" t="n">
        <f aca="false">COUNTIFS('Raw Log'!$F$5:$F$1538,A19,'Raw Log'!$B$5:$B$1538,"Diaper")</f>
        <v>5</v>
      </c>
      <c r="K19" s="19" t="n">
        <f aca="false">J19-COUNTIFS('Raw Log'!$F$5:$F$1538,A19,'Raw Log'!$B$5:$B$1538,"Diaper",'Raw Log'!$D$5:$D$1538,"Pee")-COUNTIFS('Raw Log'!$F$5:$F$1538,A19,'Raw Log'!$B$5:$B$1538,"Diaper",'Raw Log'!$D$5:$D$1538,"Poop")-COUNTIFS('Raw Log'!$F$5:$F$1538,A19,'Raw Log'!$B$5:$B$1538,"Diaper",'Raw Log'!$D$5:$D$1538,"Both")</f>
        <v>0</v>
      </c>
      <c r="L19" s="19" t="n">
        <f aca="false">COUNTIFS('Sleep Detail'!$A$5:$A$285,A19,'Sleep Detail'!$B$5:$B$285,"Nap")</f>
        <v>1</v>
      </c>
      <c r="M19" s="11" t="n">
        <f aca="false">SUMIFS('Sleep Detail'!$E$5:$E$285,'Sleep Detail'!$A$5:$A$285,A19,'Sleep Detail'!$B$5:$B$285,"Nap")</f>
        <v>0.683333333639722</v>
      </c>
      <c r="N19" s="18" t="n">
        <f aca="false">IF(COUNTIFS('Sleep Detail'!$A$5:$A$285,A19,'Sleep Detail'!$B$5:$B$285,"Night")=0,"",_xlfn.MINIFS('Sleep Detail'!$C$5:$C$285,'Sleep Detail'!$A$5:$A$285,A19,'Sleep Detail'!$B$5:$B$285,"Night"))</f>
        <v>46262.2430555556</v>
      </c>
      <c r="O19" s="18" t="n">
        <f aca="false">IF(COUNTIFS('Sleep Detail'!$A$5:$A$285,A19,'Sleep Detail'!$B$5:$B$285,"Night")=0,"",_xlfn.MAXIFS('Sleep Detail'!$D$5:$D$285,'Sleep Detail'!$A$5:$A$285,A19,'Sleep Detail'!$B$5:$B$285,"Night"))</f>
        <v>46263.2798611111</v>
      </c>
      <c r="P19" s="11" t="n">
        <f aca="false">IF(COUNTIFS('Sleep Detail'!$A$5:$A$285,A19,'Sleep Detail'!$B$5:$B$285,"Night")=0,"",SUMIFS('Sleep Detail'!$E$5:$E$285,'Sleep Detail'!$A$5:$A$285,A19,'Sleep Detail'!$B$5:$B$285,"Night"))</f>
        <v>9.4</v>
      </c>
      <c r="Q19" s="11" t="n">
        <f aca="false">IF(P19="","",M19+P19)</f>
        <v>10.0833333336397</v>
      </c>
      <c r="R19" s="19" t="n">
        <f aca="false">COUNTIFS('Raw Log'!$F$5:$F$1538,A19,'Raw Log'!$B$5:$B$1538,"Medicine")</f>
        <v>2</v>
      </c>
      <c r="S19" s="11" t="n">
        <f aca="false">IF(N19="","",MOD(N19-0.5,1)*24)</f>
        <v>17.8333333333139</v>
      </c>
      <c r="T19" s="18" t="n">
        <f aca="false">IF(O19="","",MOD(O19,1))</f>
        <v>0.279861111106584</v>
      </c>
    </row>
    <row r="20" customFormat="false" ht="15" hidden="false" customHeight="false" outlineLevel="0" collapsed="false">
      <c r="A20" s="26" t="n">
        <v>46263</v>
      </c>
      <c r="B20" s="27" t="n">
        <f aca="false">A20-WEEKDAY(A20,3)</f>
        <v>46258</v>
      </c>
      <c r="C20" s="19" t="s">
        <v>40</v>
      </c>
      <c r="D20" s="19" t="n">
        <f aca="false">COUNTIFS('Raw Log'!$F$5:$F$1538,A20,'Raw Log'!$B$5:$B$1538,"Feed")</f>
        <v>6</v>
      </c>
      <c r="E20" s="19" t="n">
        <f aca="false">COUNTIFS('Raw Log'!$F$5:$F$1538,A20,'Raw Log'!$B$5:$B$1538,"Feed",'Raw Log'!$C$5:$C$1538,"&gt;0")</f>
        <v>6</v>
      </c>
      <c r="F20" s="19" t="n">
        <f aca="false">IF(E20=0,"",SUMIFS('Raw Log'!$C$5:$C$1538,'Raw Log'!$F$5:$F$1538,A20,'Raw Log'!$B$5:$B$1538,"Feed"))</f>
        <v>24</v>
      </c>
      <c r="G20" s="11" t="n">
        <f aca="false">IF(E20=0,"",F20/E20)</f>
        <v>4</v>
      </c>
      <c r="H20" s="19" t="n">
        <f aca="false">IF(K20=J20,"",COUNTIFS('Raw Log'!$F$5:$F$1538,A20,'Raw Log'!$B$5:$B$1538,"Diaper",'Raw Log'!$D$5:$D$1538,"Pee")+COUNTIFS('Raw Log'!$F$5:$F$1538,A20,'Raw Log'!$B$5:$B$1538,"Diaper",'Raw Log'!$D$5:$D$1538,"Both"))</f>
        <v>4</v>
      </c>
      <c r="I20" s="19" t="n">
        <f aca="false">IF(K20=J20,"",COUNTIFS('Raw Log'!$F$5:$F$1538,A20,'Raw Log'!$B$5:$B$1538,"Diaper",'Raw Log'!$D$5:$D$1538,"Poop")+COUNTIFS('Raw Log'!$F$5:$F$1538,A20,'Raw Log'!$B$5:$B$1538,"Diaper",'Raw Log'!$D$5:$D$1538,"Both"))</f>
        <v>1</v>
      </c>
      <c r="J20" s="19" t="n">
        <f aca="false">COUNTIFS('Raw Log'!$F$5:$F$1538,A20,'Raw Log'!$B$5:$B$1538,"Diaper")</f>
        <v>5</v>
      </c>
      <c r="K20" s="19" t="n">
        <f aca="false">J20-COUNTIFS('Raw Log'!$F$5:$F$1538,A20,'Raw Log'!$B$5:$B$1538,"Diaper",'Raw Log'!$D$5:$D$1538,"Pee")-COUNTIFS('Raw Log'!$F$5:$F$1538,A20,'Raw Log'!$B$5:$B$1538,"Diaper",'Raw Log'!$D$5:$D$1538,"Poop")-COUNTIFS('Raw Log'!$F$5:$F$1538,A20,'Raw Log'!$B$5:$B$1538,"Diaper",'Raw Log'!$D$5:$D$1538,"Both")</f>
        <v>0</v>
      </c>
      <c r="L20" s="19" t="n">
        <f aca="false">COUNTIFS('Sleep Detail'!$A$5:$A$285,A20,'Sleep Detail'!$B$5:$B$285,"Nap")</f>
        <v>1</v>
      </c>
      <c r="M20" s="11" t="n">
        <f aca="false">SUMIFS('Sleep Detail'!$E$5:$E$285,'Sleep Detail'!$A$5:$A$285,A20,'Sleep Detail'!$B$5:$B$285,"Nap")</f>
        <v>0.616666666666667</v>
      </c>
      <c r="N20" s="18" t="n">
        <f aca="false">IF(COUNTIFS('Sleep Detail'!$A$5:$A$285,A20,'Sleep Detail'!$B$5:$B$285,"Night")=0,"",_xlfn.MINIFS('Sleep Detail'!$C$5:$C$285,'Sleep Detail'!$A$5:$A$285,A20,'Sleep Detail'!$B$5:$B$285,"Night"))</f>
        <v>46264.0416666667</v>
      </c>
      <c r="O20" s="18" t="n">
        <f aca="false">IF(COUNTIFS('Sleep Detail'!$A$5:$A$285,A20,'Sleep Detail'!$B$5:$B$285,"Night")=0,"",_xlfn.MAXIFS('Sleep Detail'!$D$5:$D$285,'Sleep Detail'!$A$5:$A$285,A20,'Sleep Detail'!$B$5:$B$285,"Night"))</f>
        <v>46264.3125</v>
      </c>
      <c r="P20" s="11" t="n">
        <f aca="false">IF(COUNTIFS('Sleep Detail'!$A$5:$A$285,A20,'Sleep Detail'!$B$5:$B$285,"Night")=0,"",SUMIFS('Sleep Detail'!$E$5:$E$285,'Sleep Detail'!$A$5:$A$285,A20,'Sleep Detail'!$B$5:$B$285,"Night"))</f>
        <v>6.5</v>
      </c>
      <c r="Q20" s="11" t="n">
        <f aca="false">IF(P20="","",M20+P20)</f>
        <v>7.11666666666667</v>
      </c>
      <c r="R20" s="19" t="n">
        <f aca="false">COUNTIFS('Raw Log'!$F$5:$F$1538,A20,'Raw Log'!$B$5:$B$1538,"Medicine")</f>
        <v>3</v>
      </c>
      <c r="S20" s="11" t="n">
        <f aca="false">IF(N20="","",MOD(N20-0.5,1)*24)</f>
        <v>12.9999999999418</v>
      </c>
      <c r="T20" s="18" t="n">
        <f aca="false">IF(O20="","",MOD(O20,1))</f>
        <v>0.3125</v>
      </c>
    </row>
    <row r="21" customFormat="false" ht="15" hidden="false" customHeight="false" outlineLevel="0" collapsed="false">
      <c r="A21" s="26" t="n">
        <v>46264</v>
      </c>
      <c r="B21" s="27" t="n">
        <f aca="false">A21-WEEKDAY(A21,3)</f>
        <v>46258</v>
      </c>
      <c r="C21" s="19" t="s">
        <v>40</v>
      </c>
      <c r="D21" s="19" t="n">
        <f aca="false">COUNTIFS('Raw Log'!$F$5:$F$1538,A21,'Raw Log'!$B$5:$B$1538,"Feed")</f>
        <v>5</v>
      </c>
      <c r="E21" s="19" t="n">
        <f aca="false">COUNTIFS('Raw Log'!$F$5:$F$1538,A21,'Raw Log'!$B$5:$B$1538,"Feed",'Raw Log'!$C$5:$C$1538,"&gt;0")</f>
        <v>5</v>
      </c>
      <c r="F21" s="19" t="n">
        <f aca="false">IF(E21=0,"",SUMIFS('Raw Log'!$C$5:$C$1538,'Raw Log'!$F$5:$F$1538,A21,'Raw Log'!$B$5:$B$1538,"Feed"))</f>
        <v>20</v>
      </c>
      <c r="G21" s="11" t="n">
        <f aca="false">IF(E21=0,"",F21/E21)</f>
        <v>4</v>
      </c>
      <c r="H21" s="19" t="n">
        <f aca="false">IF(K21=J21,"",COUNTIFS('Raw Log'!$F$5:$F$1538,A21,'Raw Log'!$B$5:$B$1538,"Diaper",'Raw Log'!$D$5:$D$1538,"Pee")+COUNTIFS('Raw Log'!$F$5:$F$1538,A21,'Raw Log'!$B$5:$B$1538,"Diaper",'Raw Log'!$D$5:$D$1538,"Both"))</f>
        <v>3</v>
      </c>
      <c r="I21" s="19" t="n">
        <f aca="false">IF(K21=J21,"",COUNTIFS('Raw Log'!$F$5:$F$1538,A21,'Raw Log'!$B$5:$B$1538,"Diaper",'Raw Log'!$D$5:$D$1538,"Poop")+COUNTIFS('Raw Log'!$F$5:$F$1538,A21,'Raw Log'!$B$5:$B$1538,"Diaper",'Raw Log'!$D$5:$D$1538,"Both"))</f>
        <v>1</v>
      </c>
      <c r="J21" s="19" t="n">
        <f aca="false">COUNTIFS('Raw Log'!$F$5:$F$1538,A21,'Raw Log'!$B$5:$B$1538,"Diaper")</f>
        <v>4</v>
      </c>
      <c r="K21" s="19" t="n">
        <f aca="false">J21-COUNTIFS('Raw Log'!$F$5:$F$1538,A21,'Raw Log'!$B$5:$B$1538,"Diaper",'Raw Log'!$D$5:$D$1538,"Pee")-COUNTIFS('Raw Log'!$F$5:$F$1538,A21,'Raw Log'!$B$5:$B$1538,"Diaper",'Raw Log'!$D$5:$D$1538,"Poop")-COUNTIFS('Raw Log'!$F$5:$F$1538,A21,'Raw Log'!$B$5:$B$1538,"Diaper",'Raw Log'!$D$5:$D$1538,"Both")</f>
        <v>0</v>
      </c>
      <c r="L21" s="19" t="n">
        <f aca="false">COUNTIFS('Sleep Detail'!$A$5:$A$285,A21,'Sleep Detail'!$B$5:$B$285,"Nap")</f>
        <v>3</v>
      </c>
      <c r="M21" s="11" t="n">
        <f aca="false">SUMIFS('Sleep Detail'!$E$5:$E$285,'Sleep Detail'!$A$5:$A$285,A21,'Sleep Detail'!$B$5:$B$285,"Nap")</f>
        <v>5.25</v>
      </c>
      <c r="N21" s="18" t="n">
        <f aca="false">IF(COUNTIFS('Sleep Detail'!$A$5:$A$285,A21,'Sleep Detail'!$B$5:$B$285,"Night")=0,"",_xlfn.MINIFS('Sleep Detail'!$C$5:$C$285,'Sleep Detail'!$A$5:$A$285,A21,'Sleep Detail'!$B$5:$B$285,"Night"))</f>
        <v>46265.01875</v>
      </c>
      <c r="O21" s="18" t="n">
        <f aca="false">IF(COUNTIFS('Sleep Detail'!$A$5:$A$285,A21,'Sleep Detail'!$B$5:$B$285,"Night")=0,"",_xlfn.MAXIFS('Sleep Detail'!$D$5:$D$285,'Sleep Detail'!$A$5:$A$285,A21,'Sleep Detail'!$B$5:$B$285,"Night"))</f>
        <v>46265.2986111111</v>
      </c>
      <c r="P21" s="11" t="n">
        <f aca="false">IF(COUNTIFS('Sleep Detail'!$A$5:$A$285,A21,'Sleep Detail'!$B$5:$B$285,"Night")=0,"",SUMIFS('Sleep Detail'!$E$5:$E$285,'Sleep Detail'!$A$5:$A$285,A21,'Sleep Detail'!$B$5:$B$285,"Night"))</f>
        <v>6.71666666666667</v>
      </c>
      <c r="Q21" s="11" t="n">
        <f aca="false">IF(P21="","",M21+P21)</f>
        <v>11.9666666666667</v>
      </c>
      <c r="R21" s="19" t="n">
        <f aca="false">COUNTIFS('Raw Log'!$F$5:$F$1538,A21,'Raw Log'!$B$5:$B$1538,"Medicine")</f>
        <v>3</v>
      </c>
      <c r="S21" s="11" t="n">
        <f aca="false">IF(N21="","",MOD(N21-0.5,1)*24)</f>
        <v>12.4500000000699</v>
      </c>
      <c r="T21" s="18" t="n">
        <f aca="false">IF(O21="","",MOD(O21,1))</f>
        <v>0.298611111109494</v>
      </c>
    </row>
    <row r="22" customFormat="false" ht="15" hidden="false" customHeight="false" outlineLevel="0" collapsed="false">
      <c r="A22" s="26" t="n">
        <v>46265</v>
      </c>
      <c r="B22" s="27" t="n">
        <f aca="false">A22-WEEKDAY(A22,3)</f>
        <v>46265</v>
      </c>
      <c r="C22" s="19" t="s">
        <v>40</v>
      </c>
      <c r="D22" s="19" t="n">
        <f aca="false">COUNTIFS('Raw Log'!$F$5:$F$1538,A22,'Raw Log'!$B$5:$B$1538,"Feed")</f>
        <v>6</v>
      </c>
      <c r="E22" s="19" t="n">
        <f aca="false">COUNTIFS('Raw Log'!$F$5:$F$1538,A22,'Raw Log'!$B$5:$B$1538,"Feed",'Raw Log'!$C$5:$C$1538,"&gt;0")</f>
        <v>6</v>
      </c>
      <c r="F22" s="19" t="n">
        <f aca="false">IF(E22=0,"",SUMIFS('Raw Log'!$C$5:$C$1538,'Raw Log'!$F$5:$F$1538,A22,'Raw Log'!$B$5:$B$1538,"Feed"))</f>
        <v>24</v>
      </c>
      <c r="G22" s="11" t="n">
        <f aca="false">IF(E22=0,"",F22/E22)</f>
        <v>4</v>
      </c>
      <c r="H22" s="19" t="n">
        <f aca="false">IF(K22=J22,"",COUNTIFS('Raw Log'!$F$5:$F$1538,A22,'Raw Log'!$B$5:$B$1538,"Diaper",'Raw Log'!$D$5:$D$1538,"Pee")+COUNTIFS('Raw Log'!$F$5:$F$1538,A22,'Raw Log'!$B$5:$B$1538,"Diaper",'Raw Log'!$D$5:$D$1538,"Both"))</f>
        <v>5</v>
      </c>
      <c r="I22" s="19" t="n">
        <f aca="false">IF(K22=J22,"",COUNTIFS('Raw Log'!$F$5:$F$1538,A22,'Raw Log'!$B$5:$B$1538,"Diaper",'Raw Log'!$D$5:$D$1538,"Poop")+COUNTIFS('Raw Log'!$F$5:$F$1538,A22,'Raw Log'!$B$5:$B$1538,"Diaper",'Raw Log'!$D$5:$D$1538,"Both"))</f>
        <v>1</v>
      </c>
      <c r="J22" s="19" t="n">
        <f aca="false">COUNTIFS('Raw Log'!$F$5:$F$1538,A22,'Raw Log'!$B$5:$B$1538,"Diaper")</f>
        <v>6</v>
      </c>
      <c r="K22" s="19" t="n">
        <f aca="false">J22-COUNTIFS('Raw Log'!$F$5:$F$1538,A22,'Raw Log'!$B$5:$B$1538,"Diaper",'Raw Log'!$D$5:$D$1538,"Pee")-COUNTIFS('Raw Log'!$F$5:$F$1538,A22,'Raw Log'!$B$5:$B$1538,"Diaper",'Raw Log'!$D$5:$D$1538,"Poop")-COUNTIFS('Raw Log'!$F$5:$F$1538,A22,'Raw Log'!$B$5:$B$1538,"Diaper",'Raw Log'!$D$5:$D$1538,"Both")</f>
        <v>0</v>
      </c>
      <c r="L22" s="19" t="n">
        <f aca="false">COUNTIFS('Sleep Detail'!$A$5:$A$285,A22,'Sleep Detail'!$B$5:$B$285,"Nap")</f>
        <v>4</v>
      </c>
      <c r="M22" s="11" t="n">
        <f aca="false">SUMIFS('Sleep Detail'!$E$5:$E$285,'Sleep Detail'!$A$5:$A$285,A22,'Sleep Detail'!$B$5:$B$285,"Nap")</f>
        <v>4.2</v>
      </c>
      <c r="N22" s="18" t="n">
        <f aca="false">IF(COUNTIFS('Sleep Detail'!$A$5:$A$285,A22,'Sleep Detail'!$B$5:$B$285,"Night")=0,"",_xlfn.MINIFS('Sleep Detail'!$C$5:$C$285,'Sleep Detail'!$A$5:$A$285,A22,'Sleep Detail'!$B$5:$B$285,"Night"))</f>
        <v>46266.0277777778</v>
      </c>
      <c r="O22" s="18" t="n">
        <f aca="false">IF(COUNTIFS('Sleep Detail'!$A$5:$A$285,A22,'Sleep Detail'!$B$5:$B$285,"Night")=0,"",_xlfn.MAXIFS('Sleep Detail'!$D$5:$D$285,'Sleep Detail'!$A$5:$A$285,A22,'Sleep Detail'!$B$5:$B$285,"Night"))</f>
        <v>46266.3736111111</v>
      </c>
      <c r="P22" s="11" t="n">
        <f aca="false">IF(COUNTIFS('Sleep Detail'!$A$5:$A$285,A22,'Sleep Detail'!$B$5:$B$285,"Night")=0,"",SUMIFS('Sleep Detail'!$E$5:$E$285,'Sleep Detail'!$A$5:$A$285,A22,'Sleep Detail'!$B$5:$B$285,"Night"))</f>
        <v>8.3</v>
      </c>
      <c r="Q22" s="11" t="n">
        <f aca="false">IF(P22="","",M22+P22)</f>
        <v>12.5</v>
      </c>
      <c r="R22" s="19" t="n">
        <f aca="false">COUNTIFS('Raw Log'!$F$5:$F$1538,A22,'Raw Log'!$B$5:$B$1538,"Medicine")</f>
        <v>3</v>
      </c>
      <c r="S22" s="11" t="n">
        <f aca="false">IF(N22="","",MOD(N22-0.5,1)*24)</f>
        <v>12.6666666667443</v>
      </c>
      <c r="T22" s="18" t="n">
        <f aca="false">IF(O22="","",MOD(O22,1))</f>
        <v>0.373611111106584</v>
      </c>
    </row>
    <row r="23" customFormat="false" ht="15" hidden="false" customHeight="false" outlineLevel="0" collapsed="false">
      <c r="A23" s="26" t="n">
        <v>46266</v>
      </c>
      <c r="B23" s="27" t="n">
        <f aca="false">A23-WEEKDAY(A23,3)</f>
        <v>46265</v>
      </c>
      <c r="C23" s="19" t="s">
        <v>40</v>
      </c>
      <c r="D23" s="19" t="n">
        <f aca="false">COUNTIFS('Raw Log'!$F$5:$F$1538,A23,'Raw Log'!$B$5:$B$1538,"Feed")</f>
        <v>5</v>
      </c>
      <c r="E23" s="19" t="n">
        <f aca="false">COUNTIFS('Raw Log'!$F$5:$F$1538,A23,'Raw Log'!$B$5:$B$1538,"Feed",'Raw Log'!$C$5:$C$1538,"&gt;0")</f>
        <v>5</v>
      </c>
      <c r="F23" s="19" t="n">
        <f aca="false">IF(E23=0,"",SUMIFS('Raw Log'!$C$5:$C$1538,'Raw Log'!$F$5:$F$1538,A23,'Raw Log'!$B$5:$B$1538,"Feed"))</f>
        <v>20</v>
      </c>
      <c r="G23" s="11" t="n">
        <f aca="false">IF(E23=0,"",F23/E23)</f>
        <v>4</v>
      </c>
      <c r="H23" s="19" t="n">
        <f aca="false">IF(K23=J23,"",COUNTIFS('Raw Log'!$F$5:$F$1538,A23,'Raw Log'!$B$5:$B$1538,"Diaper",'Raw Log'!$D$5:$D$1538,"Pee")+COUNTIFS('Raw Log'!$F$5:$F$1538,A23,'Raw Log'!$B$5:$B$1538,"Diaper",'Raw Log'!$D$5:$D$1538,"Both"))</f>
        <v>5</v>
      </c>
      <c r="I23" s="19" t="n">
        <f aca="false">IF(K23=J23,"",COUNTIFS('Raw Log'!$F$5:$F$1538,A23,'Raw Log'!$B$5:$B$1538,"Diaper",'Raw Log'!$D$5:$D$1538,"Poop")+COUNTIFS('Raw Log'!$F$5:$F$1538,A23,'Raw Log'!$B$5:$B$1538,"Diaper",'Raw Log'!$D$5:$D$1538,"Both"))</f>
        <v>1</v>
      </c>
      <c r="J23" s="19" t="n">
        <f aca="false">COUNTIFS('Raw Log'!$F$5:$F$1538,A23,'Raw Log'!$B$5:$B$1538,"Diaper")</f>
        <v>5</v>
      </c>
      <c r="K23" s="19" t="n">
        <f aca="false">J23-COUNTIFS('Raw Log'!$F$5:$F$1538,A23,'Raw Log'!$B$5:$B$1538,"Diaper",'Raw Log'!$D$5:$D$1538,"Pee")-COUNTIFS('Raw Log'!$F$5:$F$1538,A23,'Raw Log'!$B$5:$B$1538,"Diaper",'Raw Log'!$D$5:$D$1538,"Poop")-COUNTIFS('Raw Log'!$F$5:$F$1538,A23,'Raw Log'!$B$5:$B$1538,"Diaper",'Raw Log'!$D$5:$D$1538,"Both")</f>
        <v>0</v>
      </c>
      <c r="L23" s="19" t="n">
        <f aca="false">COUNTIFS('Sleep Detail'!$A$5:$A$285,A23,'Sleep Detail'!$B$5:$B$285,"Nap")</f>
        <v>3</v>
      </c>
      <c r="M23" s="11" t="n">
        <f aca="false">SUMIFS('Sleep Detail'!$E$5:$E$285,'Sleep Detail'!$A$5:$A$285,A23,'Sleep Detail'!$B$5:$B$285,"Nap")</f>
        <v>1.80000000030639</v>
      </c>
      <c r="N23" s="18" t="n">
        <f aca="false">IF(COUNTIFS('Sleep Detail'!$A$5:$A$285,A23,'Sleep Detail'!$B$5:$B$285,"Night")=0,"",_xlfn.MINIFS('Sleep Detail'!$C$5:$C$285,'Sleep Detail'!$A$5:$A$285,A23,'Sleep Detail'!$B$5:$B$285,"Night"))</f>
        <v>46267.0208333333</v>
      </c>
      <c r="O23" s="18" t="n">
        <f aca="false">IF(COUNTIFS('Sleep Detail'!$A$5:$A$285,A23,'Sleep Detail'!$B$5:$B$285,"Night")=0,"",_xlfn.MAXIFS('Sleep Detail'!$D$5:$D$285,'Sleep Detail'!$A$5:$A$285,A23,'Sleep Detail'!$B$5:$B$285,"Night"))</f>
        <v>46267.3541666667</v>
      </c>
      <c r="P23" s="11" t="n">
        <f aca="false">IF(COUNTIFS('Sleep Detail'!$A$5:$A$285,A23,'Sleep Detail'!$B$5:$B$285,"Night")=0,"",SUMIFS('Sleep Detail'!$E$5:$E$285,'Sleep Detail'!$A$5:$A$285,A23,'Sleep Detail'!$B$5:$B$285,"Night"))</f>
        <v>7.99999999953417</v>
      </c>
      <c r="Q23" s="11" t="n">
        <f aca="false">IF(P23="","",M23+P23)</f>
        <v>9.79999999984056</v>
      </c>
      <c r="R23" s="19" t="n">
        <f aca="false">COUNTIFS('Raw Log'!$F$5:$F$1538,A23,'Raw Log'!$B$5:$B$1538,"Medicine")</f>
        <v>3</v>
      </c>
      <c r="S23" s="11" t="n">
        <f aca="false">IF(N23="","",MOD(N23-0.5,1)*24)</f>
        <v>12.5000000000582</v>
      </c>
      <c r="T23" s="18" t="n">
        <f aca="false">IF(O23="","",MOD(O23,1))</f>
        <v>0.354166666656965</v>
      </c>
    </row>
    <row r="24" customFormat="false" ht="15" hidden="false" customHeight="false" outlineLevel="0" collapsed="false">
      <c r="A24" s="26" t="n">
        <v>46267</v>
      </c>
      <c r="B24" s="27" t="n">
        <f aca="false">A24-WEEKDAY(A24,3)</f>
        <v>46265</v>
      </c>
      <c r="C24" s="19" t="s">
        <v>40</v>
      </c>
      <c r="D24" s="19" t="n">
        <f aca="false">COUNTIFS('Raw Log'!$F$5:$F$1538,A24,'Raw Log'!$B$5:$B$1538,"Feed")</f>
        <v>6</v>
      </c>
      <c r="E24" s="19" t="n">
        <f aca="false">COUNTIFS('Raw Log'!$F$5:$F$1538,A24,'Raw Log'!$B$5:$B$1538,"Feed",'Raw Log'!$C$5:$C$1538,"&gt;0")</f>
        <v>6</v>
      </c>
      <c r="F24" s="19" t="n">
        <f aca="false">IF(E24=0,"",SUMIFS('Raw Log'!$C$5:$C$1538,'Raw Log'!$F$5:$F$1538,A24,'Raw Log'!$B$5:$B$1538,"Feed"))</f>
        <v>24</v>
      </c>
      <c r="G24" s="11" t="n">
        <f aca="false">IF(E24=0,"",F24/E24)</f>
        <v>4</v>
      </c>
      <c r="H24" s="19" t="n">
        <f aca="false">IF(K24=J24,"",COUNTIFS('Raw Log'!$F$5:$F$1538,A24,'Raw Log'!$B$5:$B$1538,"Diaper",'Raw Log'!$D$5:$D$1538,"Pee")+COUNTIFS('Raw Log'!$F$5:$F$1538,A24,'Raw Log'!$B$5:$B$1538,"Diaper",'Raw Log'!$D$5:$D$1538,"Both"))</f>
        <v>3</v>
      </c>
      <c r="I24" s="19" t="n">
        <f aca="false">IF(K24=J24,"",COUNTIFS('Raw Log'!$F$5:$F$1538,A24,'Raw Log'!$B$5:$B$1538,"Diaper",'Raw Log'!$D$5:$D$1538,"Poop")+COUNTIFS('Raw Log'!$F$5:$F$1538,A24,'Raw Log'!$B$5:$B$1538,"Diaper",'Raw Log'!$D$5:$D$1538,"Both"))</f>
        <v>2</v>
      </c>
      <c r="J24" s="19" t="n">
        <f aca="false">COUNTIFS('Raw Log'!$F$5:$F$1538,A24,'Raw Log'!$B$5:$B$1538,"Diaper")</f>
        <v>5</v>
      </c>
      <c r="K24" s="19" t="n">
        <f aca="false">J24-COUNTIFS('Raw Log'!$F$5:$F$1538,A24,'Raw Log'!$B$5:$B$1538,"Diaper",'Raw Log'!$D$5:$D$1538,"Pee")-COUNTIFS('Raw Log'!$F$5:$F$1538,A24,'Raw Log'!$B$5:$B$1538,"Diaper",'Raw Log'!$D$5:$D$1538,"Poop")-COUNTIFS('Raw Log'!$F$5:$F$1538,A24,'Raw Log'!$B$5:$B$1538,"Diaper",'Raw Log'!$D$5:$D$1538,"Both")</f>
        <v>0</v>
      </c>
      <c r="L24" s="19" t="n">
        <f aca="false">COUNTIFS('Sleep Detail'!$A$5:$A$285,A24,'Sleep Detail'!$B$5:$B$285,"Nap")</f>
        <v>3</v>
      </c>
      <c r="M24" s="11" t="n">
        <f aca="false">SUMIFS('Sleep Detail'!$E$5:$E$285,'Sleep Detail'!$A$5:$A$285,A24,'Sleep Detail'!$B$5:$B$285,"Nap")</f>
        <v>0.7</v>
      </c>
      <c r="N24" s="18" t="n">
        <f aca="false">IF(COUNTIFS('Sleep Detail'!$A$5:$A$285,A24,'Sleep Detail'!$B$5:$B$285,"Night")=0,"",_xlfn.MINIFS('Sleep Detail'!$C$5:$C$285,'Sleep Detail'!$A$5:$A$285,A24,'Sleep Detail'!$B$5:$B$285,"Night"))</f>
        <v>46268.0395833333</v>
      </c>
      <c r="O24" s="18" t="n">
        <f aca="false">IF(COUNTIFS('Sleep Detail'!$A$5:$A$285,A24,'Sleep Detail'!$B$5:$B$285,"Night")=0,"",_xlfn.MAXIFS('Sleep Detail'!$D$5:$D$285,'Sleep Detail'!$A$5:$A$285,A24,'Sleep Detail'!$B$5:$B$285,"Night"))</f>
        <v>46268.3583333333</v>
      </c>
      <c r="P24" s="11" t="n">
        <f aca="false">IF(COUNTIFS('Sleep Detail'!$A$5:$A$285,A24,'Sleep Detail'!$B$5:$B$285,"Night")=0,"",SUMIFS('Sleep Detail'!$E$5:$E$285,'Sleep Detail'!$A$5:$A$285,A24,'Sleep Detail'!$B$5:$B$285,"Night"))</f>
        <v>7.65</v>
      </c>
      <c r="Q24" s="11" t="n">
        <f aca="false">IF(P24="","",M24+P24)</f>
        <v>8.35</v>
      </c>
      <c r="R24" s="19" t="n">
        <f aca="false">COUNTIFS('Raw Log'!$F$5:$F$1538,A24,'Raw Log'!$B$5:$B$1538,"Medicine")</f>
        <v>3</v>
      </c>
      <c r="S24" s="11" t="n">
        <f aca="false">IF(N24="","",MOD(N24-0.5,1)*24)</f>
        <v>12.9499999999534</v>
      </c>
      <c r="T24" s="18" t="n">
        <f aca="false">IF(O24="","",MOD(O24,1))</f>
        <v>0.358333333329938</v>
      </c>
    </row>
    <row r="25" customFormat="false" ht="15" hidden="false" customHeight="false" outlineLevel="0" collapsed="false">
      <c r="A25" s="26" t="n">
        <v>46268</v>
      </c>
      <c r="B25" s="27" t="n">
        <f aca="false">A25-WEEKDAY(A25,3)</f>
        <v>46265</v>
      </c>
      <c r="C25" s="19" t="s">
        <v>40</v>
      </c>
      <c r="D25" s="19" t="n">
        <f aca="false">COUNTIFS('Raw Log'!$F$5:$F$1538,A25,'Raw Log'!$B$5:$B$1538,"Feed")</f>
        <v>7</v>
      </c>
      <c r="E25" s="19" t="n">
        <f aca="false">COUNTIFS('Raw Log'!$F$5:$F$1538,A25,'Raw Log'!$B$5:$B$1538,"Feed",'Raw Log'!$C$5:$C$1538,"&gt;0")</f>
        <v>7</v>
      </c>
      <c r="F25" s="19" t="n">
        <f aca="false">IF(E25=0,"",SUMIFS('Raw Log'!$C$5:$C$1538,'Raw Log'!$F$5:$F$1538,A25,'Raw Log'!$B$5:$B$1538,"Feed"))</f>
        <v>28</v>
      </c>
      <c r="G25" s="11" t="n">
        <f aca="false">IF(E25=0,"",F25/E25)</f>
        <v>4</v>
      </c>
      <c r="H25" s="19" t="n">
        <f aca="false">IF(K25=J25,"",COUNTIFS('Raw Log'!$F$5:$F$1538,A25,'Raw Log'!$B$5:$B$1538,"Diaper",'Raw Log'!$D$5:$D$1538,"Pee")+COUNTIFS('Raw Log'!$F$5:$F$1538,A25,'Raw Log'!$B$5:$B$1538,"Diaper",'Raw Log'!$D$5:$D$1538,"Both"))</f>
        <v>5</v>
      </c>
      <c r="I25" s="19" t="n">
        <f aca="false">IF(K25=J25,"",COUNTIFS('Raw Log'!$F$5:$F$1538,A25,'Raw Log'!$B$5:$B$1538,"Diaper",'Raw Log'!$D$5:$D$1538,"Poop")+COUNTIFS('Raw Log'!$F$5:$F$1538,A25,'Raw Log'!$B$5:$B$1538,"Diaper",'Raw Log'!$D$5:$D$1538,"Both"))</f>
        <v>1</v>
      </c>
      <c r="J25" s="19" t="n">
        <f aca="false">COUNTIFS('Raw Log'!$F$5:$F$1538,A25,'Raw Log'!$B$5:$B$1538,"Diaper")</f>
        <v>6</v>
      </c>
      <c r="K25" s="19" t="n">
        <f aca="false">J25-COUNTIFS('Raw Log'!$F$5:$F$1538,A25,'Raw Log'!$B$5:$B$1538,"Diaper",'Raw Log'!$D$5:$D$1538,"Pee")-COUNTIFS('Raw Log'!$F$5:$F$1538,A25,'Raw Log'!$B$5:$B$1538,"Diaper",'Raw Log'!$D$5:$D$1538,"Poop")-COUNTIFS('Raw Log'!$F$5:$F$1538,A25,'Raw Log'!$B$5:$B$1538,"Diaper",'Raw Log'!$D$5:$D$1538,"Both")</f>
        <v>0</v>
      </c>
      <c r="L25" s="19" t="n">
        <f aca="false">COUNTIFS('Sleep Detail'!$A$5:$A$285,A25,'Sleep Detail'!$B$5:$B$285,"Nap")</f>
        <v>4</v>
      </c>
      <c r="M25" s="11" t="n">
        <f aca="false">SUMIFS('Sleep Detail'!$E$5:$E$285,'Sleep Detail'!$A$5:$A$285,A25,'Sleep Detail'!$B$5:$B$285,"Nap")</f>
        <v>2.58333333333333</v>
      </c>
      <c r="N25" s="18" t="n">
        <f aca="false">IF(COUNTIFS('Sleep Detail'!$A$5:$A$285,A25,'Sleep Detail'!$B$5:$B$285,"Night")=0,"",_xlfn.MINIFS('Sleep Detail'!$C$5:$C$285,'Sleep Detail'!$A$5:$A$285,A25,'Sleep Detail'!$B$5:$B$285,"Night"))</f>
        <v>46269.0493055556</v>
      </c>
      <c r="O25" s="18" t="n">
        <f aca="false">IF(COUNTIFS('Sleep Detail'!$A$5:$A$285,A25,'Sleep Detail'!$B$5:$B$285,"Night")=0,"",_xlfn.MAXIFS('Sleep Detail'!$D$5:$D$285,'Sleep Detail'!$A$5:$A$285,A25,'Sleep Detail'!$B$5:$B$285,"Night"))</f>
        <v>46269.3402777778</v>
      </c>
      <c r="P25" s="11" t="n">
        <f aca="false">IF(COUNTIFS('Sleep Detail'!$A$5:$A$285,A25,'Sleep Detail'!$B$5:$B$285,"Night")=0,"",SUMIFS('Sleep Detail'!$E$5:$E$285,'Sleep Detail'!$A$5:$A$285,A25,'Sleep Detail'!$B$5:$B$285,"Night"))</f>
        <v>6.98333333333333</v>
      </c>
      <c r="Q25" s="11" t="n">
        <f aca="false">IF(P25="","",M25+P25)</f>
        <v>9.56666666666667</v>
      </c>
      <c r="R25" s="19" t="n">
        <f aca="false">COUNTIFS('Raw Log'!$F$5:$F$1538,A25,'Raw Log'!$B$5:$B$1538,"Medicine")</f>
        <v>3</v>
      </c>
      <c r="S25" s="11" t="n">
        <f aca="false">IF(N25="","",MOD(N25-0.5,1)*24)</f>
        <v>13.1833333333489</v>
      </c>
      <c r="T25" s="18" t="n">
        <f aca="false">IF(O25="","",MOD(O25,1))</f>
        <v>0.340277777781012</v>
      </c>
    </row>
    <row r="26" customFormat="false" ht="15" hidden="false" customHeight="false" outlineLevel="0" collapsed="false">
      <c r="A26" s="26" t="n">
        <v>46269</v>
      </c>
      <c r="B26" s="27" t="n">
        <f aca="false">A26-WEEKDAY(A26,3)</f>
        <v>46265</v>
      </c>
      <c r="C26" s="19" t="s">
        <v>40</v>
      </c>
      <c r="D26" s="19" t="n">
        <f aca="false">COUNTIFS('Raw Log'!$F$5:$F$1538,A26,'Raw Log'!$B$5:$B$1538,"Feed")</f>
        <v>7</v>
      </c>
      <c r="E26" s="19" t="n">
        <f aca="false">COUNTIFS('Raw Log'!$F$5:$F$1538,A26,'Raw Log'!$B$5:$B$1538,"Feed",'Raw Log'!$C$5:$C$1538,"&gt;0")</f>
        <v>7</v>
      </c>
      <c r="F26" s="19" t="n">
        <f aca="false">IF(E26=0,"",SUMIFS('Raw Log'!$C$5:$C$1538,'Raw Log'!$F$5:$F$1538,A26,'Raw Log'!$B$5:$B$1538,"Feed"))</f>
        <v>28</v>
      </c>
      <c r="G26" s="11" t="n">
        <f aca="false">IF(E26=0,"",F26/E26)</f>
        <v>4</v>
      </c>
      <c r="H26" s="19" t="n">
        <f aca="false">IF(K26=J26,"",COUNTIFS('Raw Log'!$F$5:$F$1538,A26,'Raw Log'!$B$5:$B$1538,"Diaper",'Raw Log'!$D$5:$D$1538,"Pee")+COUNTIFS('Raw Log'!$F$5:$F$1538,A26,'Raw Log'!$B$5:$B$1538,"Diaper",'Raw Log'!$D$5:$D$1538,"Both"))</f>
        <v>3</v>
      </c>
      <c r="I26" s="19" t="n">
        <f aca="false">IF(K26=J26,"",COUNTIFS('Raw Log'!$F$5:$F$1538,A26,'Raw Log'!$B$5:$B$1538,"Diaper",'Raw Log'!$D$5:$D$1538,"Poop")+COUNTIFS('Raw Log'!$F$5:$F$1538,A26,'Raw Log'!$B$5:$B$1538,"Diaper",'Raw Log'!$D$5:$D$1538,"Both"))</f>
        <v>2</v>
      </c>
      <c r="J26" s="19" t="n">
        <f aca="false">COUNTIFS('Raw Log'!$F$5:$F$1538,A26,'Raw Log'!$B$5:$B$1538,"Diaper")</f>
        <v>6</v>
      </c>
      <c r="K26" s="19" t="n">
        <f aca="false">J26-COUNTIFS('Raw Log'!$F$5:$F$1538,A26,'Raw Log'!$B$5:$B$1538,"Diaper",'Raw Log'!$D$5:$D$1538,"Pee")-COUNTIFS('Raw Log'!$F$5:$F$1538,A26,'Raw Log'!$B$5:$B$1538,"Diaper",'Raw Log'!$D$5:$D$1538,"Poop")-COUNTIFS('Raw Log'!$F$5:$F$1538,A26,'Raw Log'!$B$5:$B$1538,"Diaper",'Raw Log'!$D$5:$D$1538,"Both")</f>
        <v>1</v>
      </c>
      <c r="L26" s="19" t="n">
        <f aca="false">COUNTIFS('Sleep Detail'!$A$5:$A$285,A26,'Sleep Detail'!$B$5:$B$285,"Nap")</f>
        <v>3</v>
      </c>
      <c r="M26" s="11" t="n">
        <f aca="false">SUMIFS('Sleep Detail'!$E$5:$E$285,'Sleep Detail'!$A$5:$A$285,A26,'Sleep Detail'!$B$5:$B$285,"Nap")</f>
        <v>2.266666666325</v>
      </c>
      <c r="N26" s="18" t="n">
        <f aca="false">IF(COUNTIFS('Sleep Detail'!$A$5:$A$285,A26,'Sleep Detail'!$B$5:$B$285,"Night")=0,"",_xlfn.MINIFS('Sleep Detail'!$C$5:$C$285,'Sleep Detail'!$A$5:$A$285,A26,'Sleep Detail'!$B$5:$B$285,"Night"))</f>
        <v>46270.0416666667</v>
      </c>
      <c r="O26" s="18" t="n">
        <f aca="false">IF(COUNTIFS('Sleep Detail'!$A$5:$A$285,A26,'Sleep Detail'!$B$5:$B$285,"Night")=0,"",_xlfn.MAXIFS('Sleep Detail'!$D$5:$D$285,'Sleep Detail'!$A$5:$A$285,A26,'Sleep Detail'!$B$5:$B$285,"Night"))</f>
        <v>46270.34375</v>
      </c>
      <c r="P26" s="11" t="n">
        <f aca="false">IF(COUNTIFS('Sleep Detail'!$A$5:$A$285,A26,'Sleep Detail'!$B$5:$B$285,"Night")=0,"",SUMIFS('Sleep Detail'!$E$5:$E$285,'Sleep Detail'!$A$5:$A$285,A26,'Sleep Detail'!$B$5:$B$285,"Night"))</f>
        <v>7.25</v>
      </c>
      <c r="Q26" s="11" t="n">
        <f aca="false">IF(P26="","",M26+P26)</f>
        <v>9.516666666325</v>
      </c>
      <c r="R26" s="19" t="n">
        <f aca="false">COUNTIFS('Raw Log'!$F$5:$F$1538,A26,'Raw Log'!$B$5:$B$1538,"Medicine")</f>
        <v>3</v>
      </c>
      <c r="S26" s="11" t="n">
        <f aca="false">IF(N26="","",MOD(N26-0.5,1)*24)</f>
        <v>12.9999999999418</v>
      </c>
      <c r="T26" s="18" t="n">
        <f aca="false">IF(O26="","",MOD(O26,1))</f>
        <v>0.34375</v>
      </c>
    </row>
    <row r="27" customFormat="false" ht="15" hidden="false" customHeight="false" outlineLevel="0" collapsed="false">
      <c r="A27" s="26" t="n">
        <v>46270</v>
      </c>
      <c r="B27" s="27" t="n">
        <f aca="false">A27-WEEKDAY(A27,3)</f>
        <v>46265</v>
      </c>
      <c r="C27" s="19" t="s">
        <v>40</v>
      </c>
      <c r="D27" s="19" t="n">
        <f aca="false">COUNTIFS('Raw Log'!$F$5:$F$1538,A27,'Raw Log'!$B$5:$B$1538,"Feed")</f>
        <v>6</v>
      </c>
      <c r="E27" s="19" t="n">
        <f aca="false">COUNTIFS('Raw Log'!$F$5:$F$1538,A27,'Raw Log'!$B$5:$B$1538,"Feed",'Raw Log'!$C$5:$C$1538,"&gt;0")</f>
        <v>6</v>
      </c>
      <c r="F27" s="19" t="n">
        <f aca="false">IF(E27=0,"",SUMIFS('Raw Log'!$C$5:$C$1538,'Raw Log'!$F$5:$F$1538,A27,'Raw Log'!$B$5:$B$1538,"Feed"))</f>
        <v>24</v>
      </c>
      <c r="G27" s="11" t="n">
        <f aca="false">IF(E27=0,"",F27/E27)</f>
        <v>4</v>
      </c>
      <c r="H27" s="19" t="n">
        <f aca="false">IF(K27=J27,"",COUNTIFS('Raw Log'!$F$5:$F$1538,A27,'Raw Log'!$B$5:$B$1538,"Diaper",'Raw Log'!$D$5:$D$1538,"Pee")+COUNTIFS('Raw Log'!$F$5:$F$1538,A27,'Raw Log'!$B$5:$B$1538,"Diaper",'Raw Log'!$D$5:$D$1538,"Both"))</f>
        <v>5</v>
      </c>
      <c r="I27" s="19" t="n">
        <f aca="false">IF(K27=J27,"",COUNTIFS('Raw Log'!$F$5:$F$1538,A27,'Raw Log'!$B$5:$B$1538,"Diaper",'Raw Log'!$D$5:$D$1538,"Poop")+COUNTIFS('Raw Log'!$F$5:$F$1538,A27,'Raw Log'!$B$5:$B$1538,"Diaper",'Raw Log'!$D$5:$D$1538,"Both"))</f>
        <v>4</v>
      </c>
      <c r="J27" s="19" t="n">
        <f aca="false">COUNTIFS('Raw Log'!$F$5:$F$1538,A27,'Raw Log'!$B$5:$B$1538,"Diaper")</f>
        <v>7</v>
      </c>
      <c r="K27" s="19" t="n">
        <f aca="false">J27-COUNTIFS('Raw Log'!$F$5:$F$1538,A27,'Raw Log'!$B$5:$B$1538,"Diaper",'Raw Log'!$D$5:$D$1538,"Pee")-COUNTIFS('Raw Log'!$F$5:$F$1538,A27,'Raw Log'!$B$5:$B$1538,"Diaper",'Raw Log'!$D$5:$D$1538,"Poop")-COUNTIFS('Raw Log'!$F$5:$F$1538,A27,'Raw Log'!$B$5:$B$1538,"Diaper",'Raw Log'!$D$5:$D$1538,"Both")</f>
        <v>0</v>
      </c>
      <c r="L27" s="19" t="n">
        <f aca="false">COUNTIFS('Sleep Detail'!$A$5:$A$285,A27,'Sleep Detail'!$B$5:$B$285,"Nap")</f>
        <v>2</v>
      </c>
      <c r="M27" s="11" t="n">
        <f aca="false">SUMIFS('Sleep Detail'!$E$5:$E$285,'Sleep Detail'!$A$5:$A$285,A27,'Sleep Detail'!$B$5:$B$285,"Nap")</f>
        <v>1.66666666666667</v>
      </c>
      <c r="N27" s="18" t="n">
        <f aca="false">IF(COUNTIFS('Sleep Detail'!$A$5:$A$285,A27,'Sleep Detail'!$B$5:$B$285,"Night")=0,"",_xlfn.MINIFS('Sleep Detail'!$C$5:$C$285,'Sleep Detail'!$A$5:$A$285,A27,'Sleep Detail'!$B$5:$B$285,"Night"))</f>
        <v>46271.0347222222</v>
      </c>
      <c r="O27" s="18" t="n">
        <f aca="false">IF(COUNTIFS('Sleep Detail'!$A$5:$A$285,A27,'Sleep Detail'!$B$5:$B$285,"Night")=0,"",_xlfn.MAXIFS('Sleep Detail'!$D$5:$D$285,'Sleep Detail'!$A$5:$A$285,A27,'Sleep Detail'!$B$5:$B$285,"Night"))</f>
        <v>46271.3194444445</v>
      </c>
      <c r="P27" s="11" t="n">
        <f aca="false">IF(COUNTIFS('Sleep Detail'!$A$5:$A$285,A27,'Sleep Detail'!$B$5:$B$285,"Night")=0,"",SUMIFS('Sleep Detail'!$E$5:$E$285,'Sleep Detail'!$A$5:$A$285,A27,'Sleep Detail'!$B$5:$B$285,"Night"))</f>
        <v>6.83333333333333</v>
      </c>
      <c r="Q27" s="11" t="n">
        <f aca="false">IF(P27="","",M27+P27)</f>
        <v>8.5</v>
      </c>
      <c r="R27" s="19" t="n">
        <f aca="false">COUNTIFS('Raw Log'!$F$5:$F$1538,A27,'Raw Log'!$B$5:$B$1538,"Medicine")</f>
        <v>3</v>
      </c>
      <c r="S27" s="11" t="n">
        <f aca="false">IF(N27="","",MOD(N27-0.5,1)*24)</f>
        <v>12.8333333332557</v>
      </c>
      <c r="T27" s="18" t="n">
        <f aca="false">IF(O27="","",MOD(O27,1))</f>
        <v>0.319444444452529</v>
      </c>
    </row>
    <row r="28" customFormat="false" ht="15" hidden="false" customHeight="false" outlineLevel="0" collapsed="false">
      <c r="A28" s="26" t="n">
        <v>46271</v>
      </c>
      <c r="B28" s="27" t="n">
        <f aca="false">A28-WEEKDAY(A28,3)</f>
        <v>46265</v>
      </c>
      <c r="C28" s="19" t="s">
        <v>40</v>
      </c>
      <c r="D28" s="19" t="n">
        <f aca="false">COUNTIFS('Raw Log'!$F$5:$F$1538,A28,'Raw Log'!$B$5:$B$1538,"Feed")</f>
        <v>7</v>
      </c>
      <c r="E28" s="19" t="n">
        <f aca="false">COUNTIFS('Raw Log'!$F$5:$F$1538,A28,'Raw Log'!$B$5:$B$1538,"Feed",'Raw Log'!$C$5:$C$1538,"&gt;0")</f>
        <v>7</v>
      </c>
      <c r="F28" s="19" t="n">
        <f aca="false">IF(E28=0,"",SUMIFS('Raw Log'!$C$5:$C$1538,'Raw Log'!$F$5:$F$1538,A28,'Raw Log'!$B$5:$B$1538,"Feed"))</f>
        <v>28</v>
      </c>
      <c r="G28" s="11" t="n">
        <f aca="false">IF(E28=0,"",F28/E28)</f>
        <v>4</v>
      </c>
      <c r="H28" s="19" t="n">
        <f aca="false">IF(K28=J28,"",COUNTIFS('Raw Log'!$F$5:$F$1538,A28,'Raw Log'!$B$5:$B$1538,"Diaper",'Raw Log'!$D$5:$D$1538,"Pee")+COUNTIFS('Raw Log'!$F$5:$F$1538,A28,'Raw Log'!$B$5:$B$1538,"Diaper",'Raw Log'!$D$5:$D$1538,"Both"))</f>
        <v>5</v>
      </c>
      <c r="I28" s="19" t="n">
        <f aca="false">IF(K28=J28,"",COUNTIFS('Raw Log'!$F$5:$F$1538,A28,'Raw Log'!$B$5:$B$1538,"Diaper",'Raw Log'!$D$5:$D$1538,"Poop")+COUNTIFS('Raw Log'!$F$5:$F$1538,A28,'Raw Log'!$B$5:$B$1538,"Diaper",'Raw Log'!$D$5:$D$1538,"Both"))</f>
        <v>0</v>
      </c>
      <c r="J28" s="19" t="n">
        <f aca="false">COUNTIFS('Raw Log'!$F$5:$F$1538,A28,'Raw Log'!$B$5:$B$1538,"Diaper")</f>
        <v>5</v>
      </c>
      <c r="K28" s="19" t="n">
        <f aca="false">J28-COUNTIFS('Raw Log'!$F$5:$F$1538,A28,'Raw Log'!$B$5:$B$1538,"Diaper",'Raw Log'!$D$5:$D$1538,"Pee")-COUNTIFS('Raw Log'!$F$5:$F$1538,A28,'Raw Log'!$B$5:$B$1538,"Diaper",'Raw Log'!$D$5:$D$1538,"Poop")-COUNTIFS('Raw Log'!$F$5:$F$1538,A28,'Raw Log'!$B$5:$B$1538,"Diaper",'Raw Log'!$D$5:$D$1538,"Both")</f>
        <v>0</v>
      </c>
      <c r="L28" s="19" t="n">
        <f aca="false">COUNTIFS('Sleep Detail'!$A$5:$A$285,A28,'Sleep Detail'!$B$5:$B$285,"Nap")</f>
        <v>3</v>
      </c>
      <c r="M28" s="11" t="n">
        <f aca="false">SUMIFS('Sleep Detail'!$E$5:$E$285,'Sleep Detail'!$A$5:$A$285,A28,'Sleep Detail'!$B$5:$B$285,"Nap")</f>
        <v>3.25</v>
      </c>
      <c r="N28" s="18" t="n">
        <f aca="false">IF(COUNTIFS('Sleep Detail'!$A$5:$A$285,A28,'Sleep Detail'!$B$5:$B$285,"Night")=0,"",_xlfn.MINIFS('Sleep Detail'!$C$5:$C$285,'Sleep Detail'!$A$5:$A$285,A28,'Sleep Detail'!$B$5:$B$285,"Night"))</f>
        <v>46272.01875</v>
      </c>
      <c r="O28" s="18" t="n">
        <f aca="false">IF(COUNTIFS('Sleep Detail'!$A$5:$A$285,A28,'Sleep Detail'!$B$5:$B$285,"Night")=0,"",_xlfn.MAXIFS('Sleep Detail'!$D$5:$D$285,'Sleep Detail'!$A$5:$A$285,A28,'Sleep Detail'!$B$5:$B$285,"Night"))</f>
        <v>46272.375</v>
      </c>
      <c r="P28" s="11" t="n">
        <f aca="false">IF(COUNTIFS('Sleep Detail'!$A$5:$A$285,A28,'Sleep Detail'!$B$5:$B$285,"Night")=0,"",SUMIFS('Sleep Detail'!$E$5:$E$285,'Sleep Detail'!$A$5:$A$285,A28,'Sleep Detail'!$B$5:$B$285,"Night"))</f>
        <v>8.55</v>
      </c>
      <c r="Q28" s="11" t="n">
        <f aca="false">IF(P28="","",M28+P28)</f>
        <v>11.8</v>
      </c>
      <c r="R28" s="19" t="n">
        <f aca="false">COUNTIFS('Raw Log'!$F$5:$F$1538,A28,'Raw Log'!$B$5:$B$1538,"Medicine")</f>
        <v>3</v>
      </c>
      <c r="S28" s="11" t="n">
        <f aca="false">IF(N28="","",MOD(N28-0.5,1)*24)</f>
        <v>12.4500000000699</v>
      </c>
      <c r="T28" s="18" t="n">
        <f aca="false">IF(O28="","",MOD(O28,1))</f>
        <v>0.375</v>
      </c>
    </row>
    <row r="29" customFormat="false" ht="15" hidden="false" customHeight="false" outlineLevel="0" collapsed="false">
      <c r="A29" s="26" t="n">
        <v>46272</v>
      </c>
      <c r="B29" s="27" t="n">
        <f aca="false">A29-WEEKDAY(A29,3)</f>
        <v>46272</v>
      </c>
      <c r="C29" s="19" t="s">
        <v>40</v>
      </c>
      <c r="D29" s="19" t="n">
        <f aca="false">COUNTIFS('Raw Log'!$F$5:$F$1538,A29,'Raw Log'!$B$5:$B$1538,"Feed")</f>
        <v>6</v>
      </c>
      <c r="E29" s="19" t="n">
        <f aca="false">COUNTIFS('Raw Log'!$F$5:$F$1538,A29,'Raw Log'!$B$5:$B$1538,"Feed",'Raw Log'!$C$5:$C$1538,"&gt;0")</f>
        <v>6</v>
      </c>
      <c r="F29" s="19" t="n">
        <f aca="false">IF(E29=0,"",SUMIFS('Raw Log'!$C$5:$C$1538,'Raw Log'!$F$5:$F$1538,A29,'Raw Log'!$B$5:$B$1538,"Feed"))</f>
        <v>24</v>
      </c>
      <c r="G29" s="11" t="n">
        <f aca="false">IF(E29=0,"",F29/E29)</f>
        <v>4</v>
      </c>
      <c r="H29" s="19" t="n">
        <f aca="false">IF(K29=J29,"",COUNTIFS('Raw Log'!$F$5:$F$1538,A29,'Raw Log'!$B$5:$B$1538,"Diaper",'Raw Log'!$D$5:$D$1538,"Pee")+COUNTIFS('Raw Log'!$F$5:$F$1538,A29,'Raw Log'!$B$5:$B$1538,"Diaper",'Raw Log'!$D$5:$D$1538,"Both"))</f>
        <v>4</v>
      </c>
      <c r="I29" s="19" t="n">
        <f aca="false">IF(K29=J29,"",COUNTIFS('Raw Log'!$F$5:$F$1538,A29,'Raw Log'!$B$5:$B$1538,"Diaper",'Raw Log'!$D$5:$D$1538,"Poop")+COUNTIFS('Raw Log'!$F$5:$F$1538,A29,'Raw Log'!$B$5:$B$1538,"Diaper",'Raw Log'!$D$5:$D$1538,"Both"))</f>
        <v>1</v>
      </c>
      <c r="J29" s="19" t="n">
        <f aca="false">COUNTIFS('Raw Log'!$F$5:$F$1538,A29,'Raw Log'!$B$5:$B$1538,"Diaper")</f>
        <v>5</v>
      </c>
      <c r="K29" s="19" t="n">
        <f aca="false">J29-COUNTIFS('Raw Log'!$F$5:$F$1538,A29,'Raw Log'!$B$5:$B$1538,"Diaper",'Raw Log'!$D$5:$D$1538,"Pee")-COUNTIFS('Raw Log'!$F$5:$F$1538,A29,'Raw Log'!$B$5:$B$1538,"Diaper",'Raw Log'!$D$5:$D$1538,"Poop")-COUNTIFS('Raw Log'!$F$5:$F$1538,A29,'Raw Log'!$B$5:$B$1538,"Diaper",'Raw Log'!$D$5:$D$1538,"Both")</f>
        <v>0</v>
      </c>
      <c r="L29" s="19" t="n">
        <f aca="false">COUNTIFS('Sleep Detail'!$A$5:$A$285,A29,'Sleep Detail'!$B$5:$B$285,"Nap")</f>
        <v>3</v>
      </c>
      <c r="M29" s="11" t="n">
        <f aca="false">SUMIFS('Sleep Detail'!$E$5:$E$285,'Sleep Detail'!$A$5:$A$285,A29,'Sleep Detail'!$B$5:$B$285,"Nap")</f>
        <v>2.53333333333333</v>
      </c>
      <c r="N29" s="18" t="n">
        <f aca="false">IF(COUNTIFS('Sleep Detail'!$A$5:$A$285,A29,'Sleep Detail'!$B$5:$B$285,"Night")=0,"",_xlfn.MINIFS('Sleep Detail'!$C$5:$C$285,'Sleep Detail'!$A$5:$A$285,A29,'Sleep Detail'!$B$5:$B$285,"Night"))</f>
        <v>46273.0069444445</v>
      </c>
      <c r="O29" s="18" t="n">
        <f aca="false">IF(COUNTIFS('Sleep Detail'!$A$5:$A$285,A29,'Sleep Detail'!$B$5:$B$285,"Night")=0,"",_xlfn.MAXIFS('Sleep Detail'!$D$5:$D$285,'Sleep Detail'!$A$5:$A$285,A29,'Sleep Detail'!$B$5:$B$285,"Night"))</f>
        <v>46273.3541666667</v>
      </c>
      <c r="P29" s="11" t="n">
        <f aca="false">IF(COUNTIFS('Sleep Detail'!$A$5:$A$285,A29,'Sleep Detail'!$B$5:$B$285,"Night")=0,"",SUMIFS('Sleep Detail'!$E$5:$E$285,'Sleep Detail'!$A$5:$A$285,A29,'Sleep Detail'!$B$5:$B$285,"Night"))</f>
        <v>8.33333333290639</v>
      </c>
      <c r="Q29" s="11" t="n">
        <f aca="false">IF(P29="","",M29+P29)</f>
        <v>10.8666666662397</v>
      </c>
      <c r="R29" s="19" t="n">
        <f aca="false">COUNTIFS('Raw Log'!$F$5:$F$1538,A29,'Raw Log'!$B$5:$B$1538,"Medicine")</f>
        <v>4</v>
      </c>
      <c r="S29" s="11" t="n">
        <f aca="false">IF(N29="","",MOD(N29-0.5,1)*24)</f>
        <v>12.1666666666861</v>
      </c>
      <c r="T29" s="18" t="n">
        <f aca="false">IF(O29="","",MOD(O29,1))</f>
        <v>0.354166666656965</v>
      </c>
    </row>
    <row r="30" customFormat="false" ht="15" hidden="false" customHeight="false" outlineLevel="0" collapsed="false">
      <c r="A30" s="26" t="n">
        <v>46273</v>
      </c>
      <c r="B30" s="27" t="n">
        <f aca="false">A30-WEEKDAY(A30,3)</f>
        <v>46272</v>
      </c>
      <c r="C30" s="19" t="s">
        <v>40</v>
      </c>
      <c r="D30" s="19" t="n">
        <f aca="false">COUNTIFS('Raw Log'!$F$5:$F$1538,A30,'Raw Log'!$B$5:$B$1538,"Feed")</f>
        <v>7</v>
      </c>
      <c r="E30" s="19" t="n">
        <f aca="false">COUNTIFS('Raw Log'!$F$5:$F$1538,A30,'Raw Log'!$B$5:$B$1538,"Feed",'Raw Log'!$C$5:$C$1538,"&gt;0")</f>
        <v>7</v>
      </c>
      <c r="F30" s="19" t="n">
        <f aca="false">IF(E30=0,"",SUMIFS('Raw Log'!$C$5:$C$1538,'Raw Log'!$F$5:$F$1538,A30,'Raw Log'!$B$5:$B$1538,"Feed"))</f>
        <v>28</v>
      </c>
      <c r="G30" s="11" t="n">
        <f aca="false">IF(E30=0,"",F30/E30)</f>
        <v>4</v>
      </c>
      <c r="H30" s="19" t="n">
        <f aca="false">IF(K30=J30,"",COUNTIFS('Raw Log'!$F$5:$F$1538,A30,'Raw Log'!$B$5:$B$1538,"Diaper",'Raw Log'!$D$5:$D$1538,"Pee")+COUNTIFS('Raw Log'!$F$5:$F$1538,A30,'Raw Log'!$B$5:$B$1538,"Diaper",'Raw Log'!$D$5:$D$1538,"Both"))</f>
        <v>6</v>
      </c>
      <c r="I30" s="19" t="n">
        <f aca="false">IF(K30=J30,"",COUNTIFS('Raw Log'!$F$5:$F$1538,A30,'Raw Log'!$B$5:$B$1538,"Diaper",'Raw Log'!$D$5:$D$1538,"Poop")+COUNTIFS('Raw Log'!$F$5:$F$1538,A30,'Raw Log'!$B$5:$B$1538,"Diaper",'Raw Log'!$D$5:$D$1538,"Both"))</f>
        <v>1</v>
      </c>
      <c r="J30" s="19" t="n">
        <f aca="false">COUNTIFS('Raw Log'!$F$5:$F$1538,A30,'Raw Log'!$B$5:$B$1538,"Diaper")</f>
        <v>7</v>
      </c>
      <c r="K30" s="19" t="n">
        <f aca="false">J30-COUNTIFS('Raw Log'!$F$5:$F$1538,A30,'Raw Log'!$B$5:$B$1538,"Diaper",'Raw Log'!$D$5:$D$1538,"Pee")-COUNTIFS('Raw Log'!$F$5:$F$1538,A30,'Raw Log'!$B$5:$B$1538,"Diaper",'Raw Log'!$D$5:$D$1538,"Poop")-COUNTIFS('Raw Log'!$F$5:$F$1538,A30,'Raw Log'!$B$5:$B$1538,"Diaper",'Raw Log'!$D$5:$D$1538,"Both")</f>
        <v>0</v>
      </c>
      <c r="L30" s="19" t="n">
        <f aca="false">COUNTIFS('Sleep Detail'!$A$5:$A$285,A30,'Sleep Detail'!$B$5:$B$285,"Nap")</f>
        <v>1</v>
      </c>
      <c r="M30" s="11" t="n">
        <f aca="false">SUMIFS('Sleep Detail'!$E$5:$E$285,'Sleep Detail'!$A$5:$A$285,A30,'Sleep Detail'!$B$5:$B$285,"Nap")</f>
        <v>0.583333333333333</v>
      </c>
      <c r="N30" s="18" t="n">
        <f aca="false">IF(COUNTIFS('Sleep Detail'!$A$5:$A$285,A30,'Sleep Detail'!$B$5:$B$285,"Night")=0,"",_xlfn.MINIFS('Sleep Detail'!$C$5:$C$285,'Sleep Detail'!$A$5:$A$285,A30,'Sleep Detail'!$B$5:$B$285,"Night"))</f>
        <v>46274.0104166667</v>
      </c>
      <c r="O30" s="18" t="n">
        <f aca="false">IF(COUNTIFS('Sleep Detail'!$A$5:$A$285,A30,'Sleep Detail'!$B$5:$B$285,"Night")=0,"",_xlfn.MAXIFS('Sleep Detail'!$D$5:$D$285,'Sleep Detail'!$A$5:$A$285,A30,'Sleep Detail'!$B$5:$B$285,"Night"))</f>
        <v>46274.3715277778</v>
      </c>
      <c r="P30" s="11" t="n">
        <f aca="false">IF(COUNTIFS('Sleep Detail'!$A$5:$A$285,A30,'Sleep Detail'!$B$5:$B$285,"Night")=0,"",SUMIFS('Sleep Detail'!$E$5:$E$285,'Sleep Detail'!$A$5:$A$285,A30,'Sleep Detail'!$B$5:$B$285,"Night"))</f>
        <v>8.66666666697694</v>
      </c>
      <c r="Q30" s="11" t="n">
        <f aca="false">IF(P30="","",M30+P30)</f>
        <v>9.25000000031028</v>
      </c>
      <c r="R30" s="19" t="n">
        <f aca="false">COUNTIFS('Raw Log'!$F$5:$F$1538,A30,'Raw Log'!$B$5:$B$1538,"Medicine")</f>
        <v>2</v>
      </c>
      <c r="S30" s="11" t="n">
        <f aca="false">IF(N30="","",MOD(N30-0.5,1)*24)</f>
        <v>12.2499999999418</v>
      </c>
      <c r="T30" s="18" t="n">
        <f aca="false">IF(O30="","",MOD(O30,1))</f>
        <v>0.371527777781012</v>
      </c>
    </row>
    <row r="31" customFormat="false" ht="15" hidden="false" customHeight="false" outlineLevel="0" collapsed="false">
      <c r="A31" s="26" t="n">
        <v>46274</v>
      </c>
      <c r="B31" s="27" t="n">
        <f aca="false">A31-WEEKDAY(A31,3)</f>
        <v>46272</v>
      </c>
      <c r="C31" s="19" t="s">
        <v>40</v>
      </c>
      <c r="D31" s="19" t="n">
        <f aca="false">COUNTIFS('Raw Log'!$F$5:$F$1538,A31,'Raw Log'!$B$5:$B$1538,"Feed")</f>
        <v>6</v>
      </c>
      <c r="E31" s="19" t="n">
        <f aca="false">COUNTIFS('Raw Log'!$F$5:$F$1538,A31,'Raw Log'!$B$5:$B$1538,"Feed",'Raw Log'!$C$5:$C$1538,"&gt;0")</f>
        <v>6</v>
      </c>
      <c r="F31" s="19" t="n">
        <f aca="false">IF(E31=0,"",SUMIFS('Raw Log'!$C$5:$C$1538,'Raw Log'!$F$5:$F$1538,A31,'Raw Log'!$B$5:$B$1538,"Feed"))</f>
        <v>26</v>
      </c>
      <c r="G31" s="11" t="n">
        <f aca="false">IF(E31=0,"",F31/E31)</f>
        <v>4.33333333333333</v>
      </c>
      <c r="H31" s="19" t="n">
        <f aca="false">IF(K31=J31,"",COUNTIFS('Raw Log'!$F$5:$F$1538,A31,'Raw Log'!$B$5:$B$1538,"Diaper",'Raw Log'!$D$5:$D$1538,"Pee")+COUNTIFS('Raw Log'!$F$5:$F$1538,A31,'Raw Log'!$B$5:$B$1538,"Diaper",'Raw Log'!$D$5:$D$1538,"Both"))</f>
        <v>3</v>
      </c>
      <c r="I31" s="19" t="n">
        <f aca="false">IF(K31=J31,"",COUNTIFS('Raw Log'!$F$5:$F$1538,A31,'Raw Log'!$B$5:$B$1538,"Diaper",'Raw Log'!$D$5:$D$1538,"Poop")+COUNTIFS('Raw Log'!$F$5:$F$1538,A31,'Raw Log'!$B$5:$B$1538,"Diaper",'Raw Log'!$D$5:$D$1538,"Both"))</f>
        <v>3</v>
      </c>
      <c r="J31" s="19" t="n">
        <f aca="false">COUNTIFS('Raw Log'!$F$5:$F$1538,A31,'Raw Log'!$B$5:$B$1538,"Diaper")</f>
        <v>6</v>
      </c>
      <c r="K31" s="19" t="n">
        <f aca="false">J31-COUNTIFS('Raw Log'!$F$5:$F$1538,A31,'Raw Log'!$B$5:$B$1538,"Diaper",'Raw Log'!$D$5:$D$1538,"Pee")-COUNTIFS('Raw Log'!$F$5:$F$1538,A31,'Raw Log'!$B$5:$B$1538,"Diaper",'Raw Log'!$D$5:$D$1538,"Poop")-COUNTIFS('Raw Log'!$F$5:$F$1538,A31,'Raw Log'!$B$5:$B$1538,"Diaper",'Raw Log'!$D$5:$D$1538,"Both")</f>
        <v>0</v>
      </c>
      <c r="L31" s="19" t="n">
        <f aca="false">COUNTIFS('Sleep Detail'!$A$5:$A$285,A31,'Sleep Detail'!$B$5:$B$285,"Nap")</f>
        <v>4</v>
      </c>
      <c r="M31" s="11" t="n">
        <f aca="false">SUMIFS('Sleep Detail'!$E$5:$E$285,'Sleep Detail'!$A$5:$A$285,A31,'Sleep Detail'!$B$5:$B$285,"Nap")</f>
        <v>3.05</v>
      </c>
      <c r="N31" s="18" t="n">
        <f aca="false">IF(COUNTIFS('Sleep Detail'!$A$5:$A$285,A31,'Sleep Detail'!$B$5:$B$285,"Night")=0,"",_xlfn.MINIFS('Sleep Detail'!$C$5:$C$285,'Sleep Detail'!$A$5:$A$285,A31,'Sleep Detail'!$B$5:$B$285,"Night"))</f>
        <v>46275.0472222222</v>
      </c>
      <c r="O31" s="18" t="n">
        <f aca="false">IF(COUNTIFS('Sleep Detail'!$A$5:$A$285,A31,'Sleep Detail'!$B$5:$B$285,"Night")=0,"",_xlfn.MAXIFS('Sleep Detail'!$D$5:$D$285,'Sleep Detail'!$A$5:$A$285,A31,'Sleep Detail'!$B$5:$B$285,"Night"))</f>
        <v>46275.3333333333</v>
      </c>
      <c r="P31" s="11" t="n">
        <f aca="false">IF(COUNTIFS('Sleep Detail'!$A$5:$A$285,A31,'Sleep Detail'!$B$5:$B$285,"Night")=0,"",SUMIFS('Sleep Detail'!$E$5:$E$285,'Sleep Detail'!$A$5:$A$285,A31,'Sleep Detail'!$B$5:$B$285,"Night"))</f>
        <v>6.86666666666667</v>
      </c>
      <c r="Q31" s="11" t="n">
        <f aca="false">IF(P31="","",M31+P31)</f>
        <v>9.91666666666667</v>
      </c>
      <c r="R31" s="19" t="n">
        <f aca="false">COUNTIFS('Raw Log'!$F$5:$F$1538,A31,'Raw Log'!$B$5:$B$1538,"Medicine")</f>
        <v>3</v>
      </c>
      <c r="S31" s="11" t="n">
        <f aca="false">IF(N31="","",MOD(N31-0.5,1)*24)</f>
        <v>13.1333333333605</v>
      </c>
      <c r="T31" s="18" t="n">
        <f aca="false">IF(O31="","",MOD(O31,1))</f>
        <v>0.333333333343035</v>
      </c>
    </row>
    <row r="32" customFormat="false" ht="15" hidden="false" customHeight="false" outlineLevel="0" collapsed="false">
      <c r="A32" s="26" t="n">
        <v>46275</v>
      </c>
      <c r="B32" s="27" t="n">
        <f aca="false">A32-WEEKDAY(A32,3)</f>
        <v>46272</v>
      </c>
      <c r="C32" s="19" t="s">
        <v>40</v>
      </c>
      <c r="D32" s="19" t="n">
        <f aca="false">COUNTIFS('Raw Log'!$F$5:$F$1538,A32,'Raw Log'!$B$5:$B$1538,"Feed")</f>
        <v>6</v>
      </c>
      <c r="E32" s="19" t="n">
        <f aca="false">COUNTIFS('Raw Log'!$F$5:$F$1538,A32,'Raw Log'!$B$5:$B$1538,"Feed",'Raw Log'!$C$5:$C$1538,"&gt;0")</f>
        <v>6</v>
      </c>
      <c r="F32" s="19" t="n">
        <f aca="false">IF(E32=0,"",SUMIFS('Raw Log'!$C$5:$C$1538,'Raw Log'!$F$5:$F$1538,A32,'Raw Log'!$B$5:$B$1538,"Feed"))</f>
        <v>30</v>
      </c>
      <c r="G32" s="11" t="n">
        <f aca="false">IF(E32=0,"",F32/E32)</f>
        <v>5</v>
      </c>
      <c r="H32" s="19" t="n">
        <f aca="false">IF(K32=J32,"",COUNTIFS('Raw Log'!$F$5:$F$1538,A32,'Raw Log'!$B$5:$B$1538,"Diaper",'Raw Log'!$D$5:$D$1538,"Pee")+COUNTIFS('Raw Log'!$F$5:$F$1538,A32,'Raw Log'!$B$5:$B$1538,"Diaper",'Raw Log'!$D$5:$D$1538,"Both"))</f>
        <v>4</v>
      </c>
      <c r="I32" s="19" t="n">
        <f aca="false">IF(K32=J32,"",COUNTIFS('Raw Log'!$F$5:$F$1538,A32,'Raw Log'!$B$5:$B$1538,"Diaper",'Raw Log'!$D$5:$D$1538,"Poop")+COUNTIFS('Raw Log'!$F$5:$F$1538,A32,'Raw Log'!$B$5:$B$1538,"Diaper",'Raw Log'!$D$5:$D$1538,"Both"))</f>
        <v>2</v>
      </c>
      <c r="J32" s="19" t="n">
        <f aca="false">COUNTIFS('Raw Log'!$F$5:$F$1538,A32,'Raw Log'!$B$5:$B$1538,"Diaper")</f>
        <v>6</v>
      </c>
      <c r="K32" s="19" t="n">
        <f aca="false">J32-COUNTIFS('Raw Log'!$F$5:$F$1538,A32,'Raw Log'!$B$5:$B$1538,"Diaper",'Raw Log'!$D$5:$D$1538,"Pee")-COUNTIFS('Raw Log'!$F$5:$F$1538,A32,'Raw Log'!$B$5:$B$1538,"Diaper",'Raw Log'!$D$5:$D$1538,"Poop")-COUNTIFS('Raw Log'!$F$5:$F$1538,A32,'Raw Log'!$B$5:$B$1538,"Diaper",'Raw Log'!$D$5:$D$1538,"Both")</f>
        <v>0</v>
      </c>
      <c r="L32" s="19" t="n">
        <f aca="false">COUNTIFS('Sleep Detail'!$A$5:$A$285,A32,'Sleep Detail'!$B$5:$B$285,"Nap")</f>
        <v>4</v>
      </c>
      <c r="M32" s="11" t="n">
        <f aca="false">SUMIFS('Sleep Detail'!$E$5:$E$285,'Sleep Detail'!$A$5:$A$285,A32,'Sleep Detail'!$B$5:$B$285,"Nap")</f>
        <v>3.33333333333333</v>
      </c>
      <c r="N32" s="18" t="n">
        <f aca="false">IF(COUNTIFS('Sleep Detail'!$A$5:$A$285,A32,'Sleep Detail'!$B$5:$B$285,"Night")=0,"",_xlfn.MINIFS('Sleep Detail'!$C$5:$C$285,'Sleep Detail'!$A$5:$A$285,A32,'Sleep Detail'!$B$5:$B$285,"Night"))</f>
        <v>46276.0145833333</v>
      </c>
      <c r="O32" s="18" t="n">
        <f aca="false">IF(COUNTIFS('Sleep Detail'!$A$5:$A$285,A32,'Sleep Detail'!$B$5:$B$285,"Night")=0,"",_xlfn.MAXIFS('Sleep Detail'!$D$5:$D$285,'Sleep Detail'!$A$5:$A$285,A32,'Sleep Detail'!$B$5:$B$285,"Night"))</f>
        <v>46276.2916666667</v>
      </c>
      <c r="P32" s="11" t="n">
        <f aca="false">IF(COUNTIFS('Sleep Detail'!$A$5:$A$285,A32,'Sleep Detail'!$B$5:$B$285,"Night")=0,"",SUMIFS('Sleep Detail'!$E$5:$E$285,'Sleep Detail'!$A$5:$A$285,A32,'Sleep Detail'!$B$5:$B$285,"Night"))</f>
        <v>6.65</v>
      </c>
      <c r="Q32" s="11" t="n">
        <f aca="false">IF(P32="","",M32+P32)</f>
        <v>9.98333333333333</v>
      </c>
      <c r="R32" s="19" t="n">
        <f aca="false">COUNTIFS('Raw Log'!$F$5:$F$1538,A32,'Raw Log'!$B$5:$B$1538,"Medicine")</f>
        <v>3</v>
      </c>
      <c r="S32" s="11" t="n">
        <f aca="false">IF(N32="","",MOD(N32-0.5,1)*24)</f>
        <v>12.3499999999185</v>
      </c>
      <c r="T32" s="18" t="n">
        <f aca="false">IF(O32="","",MOD(O32,1))</f>
        <v>0.291666666656965</v>
      </c>
    </row>
    <row r="33" customFormat="false" ht="15" hidden="false" customHeight="false" outlineLevel="0" collapsed="false">
      <c r="A33" s="26" t="n">
        <v>46276</v>
      </c>
      <c r="B33" s="27" t="n">
        <f aca="false">A33-WEEKDAY(A33,3)</f>
        <v>46272</v>
      </c>
      <c r="C33" s="19" t="s">
        <v>40</v>
      </c>
      <c r="D33" s="19" t="n">
        <f aca="false">COUNTIFS('Raw Log'!$F$5:$F$1538,A33,'Raw Log'!$B$5:$B$1538,"Feed")</f>
        <v>6</v>
      </c>
      <c r="E33" s="19" t="n">
        <f aca="false">COUNTIFS('Raw Log'!$F$5:$F$1538,A33,'Raw Log'!$B$5:$B$1538,"Feed",'Raw Log'!$C$5:$C$1538,"&gt;0")</f>
        <v>6</v>
      </c>
      <c r="F33" s="19" t="n">
        <f aca="false">IF(E33=0,"",SUMIFS('Raw Log'!$C$5:$C$1538,'Raw Log'!$F$5:$F$1538,A33,'Raw Log'!$B$5:$B$1538,"Feed"))</f>
        <v>30</v>
      </c>
      <c r="G33" s="11" t="n">
        <f aca="false">IF(E33=0,"",F33/E33)</f>
        <v>5</v>
      </c>
      <c r="H33" s="19" t="n">
        <f aca="false">IF(K33=J33,"",COUNTIFS('Raw Log'!$F$5:$F$1538,A33,'Raw Log'!$B$5:$B$1538,"Diaper",'Raw Log'!$D$5:$D$1538,"Pee")+COUNTIFS('Raw Log'!$F$5:$F$1538,A33,'Raw Log'!$B$5:$B$1538,"Diaper",'Raw Log'!$D$5:$D$1538,"Both"))</f>
        <v>5</v>
      </c>
      <c r="I33" s="19" t="n">
        <f aca="false">IF(K33=J33,"",COUNTIFS('Raw Log'!$F$5:$F$1538,A33,'Raw Log'!$B$5:$B$1538,"Diaper",'Raw Log'!$D$5:$D$1538,"Poop")+COUNTIFS('Raw Log'!$F$5:$F$1538,A33,'Raw Log'!$B$5:$B$1538,"Diaper",'Raw Log'!$D$5:$D$1538,"Both"))</f>
        <v>1</v>
      </c>
      <c r="J33" s="19" t="n">
        <f aca="false">COUNTIFS('Raw Log'!$F$5:$F$1538,A33,'Raw Log'!$B$5:$B$1538,"Diaper")</f>
        <v>6</v>
      </c>
      <c r="K33" s="19" t="n">
        <f aca="false">J33-COUNTIFS('Raw Log'!$F$5:$F$1538,A33,'Raw Log'!$B$5:$B$1538,"Diaper",'Raw Log'!$D$5:$D$1538,"Pee")-COUNTIFS('Raw Log'!$F$5:$F$1538,A33,'Raw Log'!$B$5:$B$1538,"Diaper",'Raw Log'!$D$5:$D$1538,"Poop")-COUNTIFS('Raw Log'!$F$5:$F$1538,A33,'Raw Log'!$B$5:$B$1538,"Diaper",'Raw Log'!$D$5:$D$1538,"Both")</f>
        <v>0</v>
      </c>
      <c r="L33" s="19" t="n">
        <f aca="false">COUNTIFS('Sleep Detail'!$A$5:$A$285,A33,'Sleep Detail'!$B$5:$B$285,"Nap")</f>
        <v>2</v>
      </c>
      <c r="M33" s="11" t="n">
        <f aca="false">SUMIFS('Sleep Detail'!$E$5:$E$285,'Sleep Detail'!$A$5:$A$285,A33,'Sleep Detail'!$B$5:$B$285,"Nap")</f>
        <v>4.79999999968945</v>
      </c>
      <c r="N33" s="18" t="n">
        <f aca="false">IF(COUNTIFS('Sleep Detail'!$A$5:$A$285,A33,'Sleep Detail'!$B$5:$B$285,"Night")=0,"",_xlfn.MINIFS('Sleep Detail'!$C$5:$C$285,'Sleep Detail'!$A$5:$A$285,A33,'Sleep Detail'!$B$5:$B$285,"Night"))</f>
        <v>46277.0298611111</v>
      </c>
      <c r="O33" s="18" t="n">
        <f aca="false">IF(COUNTIFS('Sleep Detail'!$A$5:$A$285,A33,'Sleep Detail'!$B$5:$B$285,"Night")=0,"",_xlfn.MAXIFS('Sleep Detail'!$D$5:$D$285,'Sleep Detail'!$A$5:$A$285,A33,'Sleep Detail'!$B$5:$B$285,"Night"))</f>
        <v>46277.3694444444</v>
      </c>
      <c r="P33" s="11" t="n">
        <f aca="false">IF(COUNTIFS('Sleep Detail'!$A$5:$A$285,A33,'Sleep Detail'!$B$5:$B$285,"Night")=0,"",SUMIFS('Sleep Detail'!$E$5:$E$285,'Sleep Detail'!$A$5:$A$285,A33,'Sleep Detail'!$B$5:$B$285,"Night"))</f>
        <v>8.15</v>
      </c>
      <c r="Q33" s="11" t="n">
        <f aca="false">IF(P33="","",M33+P33)</f>
        <v>12.9499999996894</v>
      </c>
      <c r="R33" s="19" t="n">
        <f aca="false">COUNTIFS('Raw Log'!$F$5:$F$1538,A33,'Raw Log'!$B$5:$B$1538,"Medicine")</f>
        <v>2</v>
      </c>
      <c r="S33" s="11" t="n">
        <f aca="false">IF(N33="","",MOD(N33-0.5,1)*24)</f>
        <v>12.7166666667326</v>
      </c>
      <c r="T33" s="18" t="n">
        <f aca="false">IF(O33="","",MOD(O33,1))</f>
        <v>0.369444444440887</v>
      </c>
    </row>
    <row r="34" customFormat="false" ht="15" hidden="false" customHeight="false" outlineLevel="0" collapsed="false">
      <c r="A34" s="26" t="n">
        <v>46277</v>
      </c>
      <c r="B34" s="27" t="n">
        <f aca="false">A34-WEEKDAY(A34,3)</f>
        <v>46272</v>
      </c>
      <c r="C34" s="19" t="s">
        <v>40</v>
      </c>
      <c r="D34" s="19" t="n">
        <f aca="false">COUNTIFS('Raw Log'!$F$5:$F$1538,A34,'Raw Log'!$B$5:$B$1538,"Feed")</f>
        <v>6</v>
      </c>
      <c r="E34" s="19" t="n">
        <f aca="false">COUNTIFS('Raw Log'!$F$5:$F$1538,A34,'Raw Log'!$B$5:$B$1538,"Feed",'Raw Log'!$C$5:$C$1538,"&gt;0")</f>
        <v>6</v>
      </c>
      <c r="F34" s="19" t="n">
        <f aca="false">IF(E34=0,"",SUMIFS('Raw Log'!$C$5:$C$1538,'Raw Log'!$F$5:$F$1538,A34,'Raw Log'!$B$5:$B$1538,"Feed"))</f>
        <v>29</v>
      </c>
      <c r="G34" s="11" t="n">
        <f aca="false">IF(E34=0,"",F34/E34)</f>
        <v>4.83333333333333</v>
      </c>
      <c r="H34" s="19" t="n">
        <f aca="false">IF(K34=J34,"",COUNTIFS('Raw Log'!$F$5:$F$1538,A34,'Raw Log'!$B$5:$B$1538,"Diaper",'Raw Log'!$D$5:$D$1538,"Pee")+COUNTIFS('Raw Log'!$F$5:$F$1538,A34,'Raw Log'!$B$5:$B$1538,"Diaper",'Raw Log'!$D$5:$D$1538,"Both"))</f>
        <v>8</v>
      </c>
      <c r="I34" s="19" t="n">
        <f aca="false">IF(K34=J34,"",COUNTIFS('Raw Log'!$F$5:$F$1538,A34,'Raw Log'!$B$5:$B$1538,"Diaper",'Raw Log'!$D$5:$D$1538,"Poop")+COUNTIFS('Raw Log'!$F$5:$F$1538,A34,'Raw Log'!$B$5:$B$1538,"Diaper",'Raw Log'!$D$5:$D$1538,"Both"))</f>
        <v>2</v>
      </c>
      <c r="J34" s="19" t="n">
        <f aca="false">COUNTIFS('Raw Log'!$F$5:$F$1538,A34,'Raw Log'!$B$5:$B$1538,"Diaper")</f>
        <v>9</v>
      </c>
      <c r="K34" s="19" t="n">
        <f aca="false">J34-COUNTIFS('Raw Log'!$F$5:$F$1538,A34,'Raw Log'!$B$5:$B$1538,"Diaper",'Raw Log'!$D$5:$D$1538,"Pee")-COUNTIFS('Raw Log'!$F$5:$F$1538,A34,'Raw Log'!$B$5:$B$1538,"Diaper",'Raw Log'!$D$5:$D$1538,"Poop")-COUNTIFS('Raw Log'!$F$5:$F$1538,A34,'Raw Log'!$B$5:$B$1538,"Diaper",'Raw Log'!$D$5:$D$1538,"Both")</f>
        <v>0</v>
      </c>
      <c r="L34" s="19" t="n">
        <f aca="false">COUNTIFS('Sleep Detail'!$A$5:$A$285,A34,'Sleep Detail'!$B$5:$B$285,"Nap")</f>
        <v>2</v>
      </c>
      <c r="M34" s="11" t="n">
        <f aca="false">SUMIFS('Sleep Detail'!$E$5:$E$285,'Sleep Detail'!$A$5:$A$285,A34,'Sleep Detail'!$B$5:$B$285,"Nap")</f>
        <v>2.38333333333333</v>
      </c>
      <c r="N34" s="18" t="n">
        <f aca="false">IF(COUNTIFS('Sleep Detail'!$A$5:$A$285,A34,'Sleep Detail'!$B$5:$B$285,"Night")=0,"",_xlfn.MINIFS('Sleep Detail'!$C$5:$C$285,'Sleep Detail'!$A$5:$A$285,A34,'Sleep Detail'!$B$5:$B$285,"Night"))</f>
        <v>46278.0569444444</v>
      </c>
      <c r="O34" s="18" t="n">
        <f aca="false">IF(COUNTIFS('Sleep Detail'!$A$5:$A$285,A34,'Sleep Detail'!$B$5:$B$285,"Night")=0,"",_xlfn.MAXIFS('Sleep Detail'!$D$5:$D$285,'Sleep Detail'!$A$5:$A$285,A34,'Sleep Detail'!$B$5:$B$285,"Night"))</f>
        <v>46278.2743055556</v>
      </c>
      <c r="P34" s="11" t="n">
        <f aca="false">IF(COUNTIFS('Sleep Detail'!$A$5:$A$285,A34,'Sleep Detail'!$B$5:$B$285,"Night")=0,"",SUMIFS('Sleep Detail'!$E$5:$E$285,'Sleep Detail'!$A$5:$A$285,A34,'Sleep Detail'!$B$5:$B$285,"Night"))</f>
        <v>5.21666666666667</v>
      </c>
      <c r="Q34" s="11" t="n">
        <f aca="false">IF(P34="","",M34+P34)</f>
        <v>7.6</v>
      </c>
      <c r="R34" s="19" t="n">
        <f aca="false">COUNTIFS('Raw Log'!$F$5:$F$1538,A34,'Raw Log'!$B$5:$B$1538,"Medicine")</f>
        <v>3</v>
      </c>
      <c r="S34" s="11" t="n">
        <f aca="false">IF(N34="","",MOD(N34-0.5,1)*24)</f>
        <v>13.3666666665813</v>
      </c>
      <c r="T34" s="18" t="n">
        <f aca="false">IF(O34="","",MOD(O34,1))</f>
        <v>0.274305555547471</v>
      </c>
    </row>
    <row r="35" customFormat="false" ht="15" hidden="false" customHeight="false" outlineLevel="0" collapsed="false">
      <c r="A35" s="26" t="n">
        <v>46278</v>
      </c>
      <c r="B35" s="27" t="n">
        <f aca="false">A35-WEEKDAY(A35,3)</f>
        <v>46272</v>
      </c>
      <c r="C35" s="19" t="s">
        <v>40</v>
      </c>
      <c r="D35" s="19" t="n">
        <f aca="false">COUNTIFS('Raw Log'!$F$5:$F$1538,A35,'Raw Log'!$B$5:$B$1538,"Feed")</f>
        <v>6</v>
      </c>
      <c r="E35" s="19" t="n">
        <f aca="false">COUNTIFS('Raw Log'!$F$5:$F$1538,A35,'Raw Log'!$B$5:$B$1538,"Feed",'Raw Log'!$C$5:$C$1538,"&gt;0")</f>
        <v>6</v>
      </c>
      <c r="F35" s="19" t="n">
        <f aca="false">IF(E35=0,"",SUMIFS('Raw Log'!$C$5:$C$1538,'Raw Log'!$F$5:$F$1538,A35,'Raw Log'!$B$5:$B$1538,"Feed"))</f>
        <v>27</v>
      </c>
      <c r="G35" s="11" t="n">
        <f aca="false">IF(E35=0,"",F35/E35)</f>
        <v>4.5</v>
      </c>
      <c r="H35" s="19" t="n">
        <f aca="false">IF(K35=J35,"",COUNTIFS('Raw Log'!$F$5:$F$1538,A35,'Raw Log'!$B$5:$B$1538,"Diaper",'Raw Log'!$D$5:$D$1538,"Pee")+COUNTIFS('Raw Log'!$F$5:$F$1538,A35,'Raw Log'!$B$5:$B$1538,"Diaper",'Raw Log'!$D$5:$D$1538,"Both"))</f>
        <v>5</v>
      </c>
      <c r="I35" s="19" t="n">
        <f aca="false">IF(K35=J35,"",COUNTIFS('Raw Log'!$F$5:$F$1538,A35,'Raw Log'!$B$5:$B$1538,"Diaper",'Raw Log'!$D$5:$D$1538,"Poop")+COUNTIFS('Raw Log'!$F$5:$F$1538,A35,'Raw Log'!$B$5:$B$1538,"Diaper",'Raw Log'!$D$5:$D$1538,"Both"))</f>
        <v>2</v>
      </c>
      <c r="J35" s="19" t="n">
        <f aca="false">COUNTIFS('Raw Log'!$F$5:$F$1538,A35,'Raw Log'!$B$5:$B$1538,"Diaper")</f>
        <v>7</v>
      </c>
      <c r="K35" s="19" t="n">
        <f aca="false">J35-COUNTIFS('Raw Log'!$F$5:$F$1538,A35,'Raw Log'!$B$5:$B$1538,"Diaper",'Raw Log'!$D$5:$D$1538,"Pee")-COUNTIFS('Raw Log'!$F$5:$F$1538,A35,'Raw Log'!$B$5:$B$1538,"Diaper",'Raw Log'!$D$5:$D$1538,"Poop")-COUNTIFS('Raw Log'!$F$5:$F$1538,A35,'Raw Log'!$B$5:$B$1538,"Diaper",'Raw Log'!$D$5:$D$1538,"Both")</f>
        <v>0</v>
      </c>
      <c r="L35" s="19" t="n">
        <f aca="false">COUNTIFS('Sleep Detail'!$A$5:$A$285,A35,'Sleep Detail'!$B$5:$B$285,"Nap")</f>
        <v>3</v>
      </c>
      <c r="M35" s="11" t="n">
        <f aca="false">SUMIFS('Sleep Detail'!$E$5:$E$285,'Sleep Detail'!$A$5:$A$285,A35,'Sleep Detail'!$B$5:$B$285,"Nap")</f>
        <v>6.16666666666667</v>
      </c>
      <c r="N35" s="18" t="n">
        <f aca="false">IF(COUNTIFS('Sleep Detail'!$A$5:$A$285,A35,'Sleep Detail'!$B$5:$B$285,"Night")=0,"",_xlfn.MINIFS('Sleep Detail'!$C$5:$C$285,'Sleep Detail'!$A$5:$A$285,A35,'Sleep Detail'!$B$5:$B$285,"Night"))</f>
        <v>46279.0548611111</v>
      </c>
      <c r="O35" s="18" t="n">
        <f aca="false">IF(COUNTIFS('Sleep Detail'!$A$5:$A$285,A35,'Sleep Detail'!$B$5:$B$285,"Night")=0,"",_xlfn.MAXIFS('Sleep Detail'!$D$5:$D$285,'Sleep Detail'!$A$5:$A$285,A35,'Sleep Detail'!$B$5:$B$285,"Night"))</f>
        <v>46279.1875</v>
      </c>
      <c r="P35" s="11" t="n">
        <f aca="false">IF(COUNTIFS('Sleep Detail'!$A$5:$A$285,A35,'Sleep Detail'!$B$5:$B$285,"Night")=0,"",SUMIFS('Sleep Detail'!$E$5:$E$285,'Sleep Detail'!$A$5:$A$285,A35,'Sleep Detail'!$B$5:$B$285,"Night"))</f>
        <v>3.18333333333333</v>
      </c>
      <c r="Q35" s="11" t="n">
        <f aca="false">IF(P35="","",M35+P35)</f>
        <v>9.35</v>
      </c>
      <c r="R35" s="19" t="n">
        <f aca="false">COUNTIFS('Raw Log'!$F$5:$F$1538,A35,'Raw Log'!$B$5:$B$1538,"Medicine")</f>
        <v>3</v>
      </c>
      <c r="S35" s="11" t="n">
        <f aca="false">IF(N35="","",MOD(N35-0.5,1)*24)</f>
        <v>13.3166666665929</v>
      </c>
      <c r="T35" s="18" t="n">
        <f aca="false">IF(O35="","",MOD(O35,1))</f>
        <v>0.1875</v>
      </c>
    </row>
    <row r="36" customFormat="false" ht="15" hidden="false" customHeight="false" outlineLevel="0" collapsed="false">
      <c r="A36" s="26" t="n">
        <v>46279</v>
      </c>
      <c r="B36" s="27" t="n">
        <f aca="false">A36-WEEKDAY(A36,3)</f>
        <v>46279</v>
      </c>
      <c r="C36" s="19" t="s">
        <v>40</v>
      </c>
      <c r="D36" s="19" t="n">
        <f aca="false">COUNTIFS('Raw Log'!$F$5:$F$1538,A36,'Raw Log'!$B$5:$B$1538,"Feed")</f>
        <v>6</v>
      </c>
      <c r="E36" s="19" t="n">
        <f aca="false">COUNTIFS('Raw Log'!$F$5:$F$1538,A36,'Raw Log'!$B$5:$B$1538,"Feed",'Raw Log'!$C$5:$C$1538,"&gt;0")</f>
        <v>6</v>
      </c>
      <c r="F36" s="19" t="n">
        <f aca="false">IF(E36=0,"",SUMIFS('Raw Log'!$C$5:$C$1538,'Raw Log'!$F$5:$F$1538,A36,'Raw Log'!$B$5:$B$1538,"Feed"))</f>
        <v>29</v>
      </c>
      <c r="G36" s="11" t="n">
        <f aca="false">IF(E36=0,"",F36/E36)</f>
        <v>4.83333333333333</v>
      </c>
      <c r="H36" s="19" t="n">
        <f aca="false">IF(K36=J36,"",COUNTIFS('Raw Log'!$F$5:$F$1538,A36,'Raw Log'!$B$5:$B$1538,"Diaper",'Raw Log'!$D$5:$D$1538,"Pee")+COUNTIFS('Raw Log'!$F$5:$F$1538,A36,'Raw Log'!$B$5:$B$1538,"Diaper",'Raw Log'!$D$5:$D$1538,"Both"))</f>
        <v>5</v>
      </c>
      <c r="I36" s="19" t="n">
        <f aca="false">IF(K36=J36,"",COUNTIFS('Raw Log'!$F$5:$F$1538,A36,'Raw Log'!$B$5:$B$1538,"Diaper",'Raw Log'!$D$5:$D$1538,"Poop")+COUNTIFS('Raw Log'!$F$5:$F$1538,A36,'Raw Log'!$B$5:$B$1538,"Diaper",'Raw Log'!$D$5:$D$1538,"Both"))</f>
        <v>2</v>
      </c>
      <c r="J36" s="19" t="n">
        <f aca="false">COUNTIFS('Raw Log'!$F$5:$F$1538,A36,'Raw Log'!$B$5:$B$1538,"Diaper")</f>
        <v>7</v>
      </c>
      <c r="K36" s="19" t="n">
        <f aca="false">J36-COUNTIFS('Raw Log'!$F$5:$F$1538,A36,'Raw Log'!$B$5:$B$1538,"Diaper",'Raw Log'!$D$5:$D$1538,"Pee")-COUNTIFS('Raw Log'!$F$5:$F$1538,A36,'Raw Log'!$B$5:$B$1538,"Diaper",'Raw Log'!$D$5:$D$1538,"Poop")-COUNTIFS('Raw Log'!$F$5:$F$1538,A36,'Raw Log'!$B$5:$B$1538,"Diaper",'Raw Log'!$D$5:$D$1538,"Both")</f>
        <v>0</v>
      </c>
      <c r="L36" s="19" t="n">
        <f aca="false">COUNTIFS('Sleep Detail'!$A$5:$A$285,A36,'Sleep Detail'!$B$5:$B$285,"Nap")</f>
        <v>3</v>
      </c>
      <c r="M36" s="11" t="n">
        <f aca="false">SUMIFS('Sleep Detail'!$E$5:$E$285,'Sleep Detail'!$A$5:$A$285,A36,'Sleep Detail'!$B$5:$B$285,"Nap")</f>
        <v>6.2</v>
      </c>
      <c r="N36" s="18" t="n">
        <f aca="false">IF(COUNTIFS('Sleep Detail'!$A$5:$A$285,A36,'Sleep Detail'!$B$5:$B$285,"Night")=0,"",_xlfn.MINIFS('Sleep Detail'!$C$5:$C$285,'Sleep Detail'!$A$5:$A$285,A36,'Sleep Detail'!$B$5:$B$285,"Night"))</f>
        <v>46280.0208333333</v>
      </c>
      <c r="O36" s="18" t="n">
        <f aca="false">IF(COUNTIFS('Sleep Detail'!$A$5:$A$285,A36,'Sleep Detail'!$B$5:$B$285,"Night")=0,"",_xlfn.MAXIFS('Sleep Detail'!$D$5:$D$285,'Sleep Detail'!$A$5:$A$285,A36,'Sleep Detail'!$B$5:$B$285,"Night"))</f>
        <v>46280.2708333333</v>
      </c>
      <c r="P36" s="11" t="n">
        <f aca="false">IF(COUNTIFS('Sleep Detail'!$A$5:$A$285,A36,'Sleep Detail'!$B$5:$B$285,"Night")=0,"",SUMIFS('Sleep Detail'!$E$5:$E$285,'Sleep Detail'!$A$5:$A$285,A36,'Sleep Detail'!$B$5:$B$285,"Night"))</f>
        <v>6</v>
      </c>
      <c r="Q36" s="11" t="n">
        <f aca="false">IF(P36="","",M36+P36)</f>
        <v>12.2</v>
      </c>
      <c r="R36" s="19" t="n">
        <f aca="false">COUNTIFS('Raw Log'!$F$5:$F$1538,A36,'Raw Log'!$B$5:$B$1538,"Medicine")</f>
        <v>3</v>
      </c>
      <c r="S36" s="11" t="n">
        <f aca="false">IF(N36="","",MOD(N36-0.5,1)*24)</f>
        <v>12.5000000000582</v>
      </c>
      <c r="T36" s="18" t="n">
        <f aca="false">IF(O36="","",MOD(O36,1))</f>
        <v>0.270833333343035</v>
      </c>
    </row>
    <row r="37" customFormat="false" ht="15" hidden="false" customHeight="false" outlineLevel="0" collapsed="false">
      <c r="A37" s="26" t="n">
        <v>46280</v>
      </c>
      <c r="B37" s="27" t="n">
        <f aca="false">A37-WEEKDAY(A37,3)</f>
        <v>46279</v>
      </c>
      <c r="C37" s="19" t="s">
        <v>40</v>
      </c>
      <c r="D37" s="19" t="n">
        <f aca="false">COUNTIFS('Raw Log'!$F$5:$F$1538,A37,'Raw Log'!$B$5:$B$1538,"Feed")</f>
        <v>6</v>
      </c>
      <c r="E37" s="19" t="n">
        <f aca="false">COUNTIFS('Raw Log'!$F$5:$F$1538,A37,'Raw Log'!$B$5:$B$1538,"Feed",'Raw Log'!$C$5:$C$1538,"&gt;0")</f>
        <v>6</v>
      </c>
      <c r="F37" s="19" t="n">
        <f aca="false">IF(E37=0,"",SUMIFS('Raw Log'!$C$5:$C$1538,'Raw Log'!$F$5:$F$1538,A37,'Raw Log'!$B$5:$B$1538,"Feed"))</f>
        <v>30</v>
      </c>
      <c r="G37" s="11" t="n">
        <f aca="false">IF(E37=0,"",F37/E37)</f>
        <v>5</v>
      </c>
      <c r="H37" s="19" t="n">
        <f aca="false">IF(K37=J37,"",COUNTIFS('Raw Log'!$F$5:$F$1538,A37,'Raw Log'!$B$5:$B$1538,"Diaper",'Raw Log'!$D$5:$D$1538,"Pee")+COUNTIFS('Raw Log'!$F$5:$F$1538,A37,'Raw Log'!$B$5:$B$1538,"Diaper",'Raw Log'!$D$5:$D$1538,"Both"))</f>
        <v>6</v>
      </c>
      <c r="I37" s="19" t="n">
        <f aca="false">IF(K37=J37,"",COUNTIFS('Raw Log'!$F$5:$F$1538,A37,'Raw Log'!$B$5:$B$1538,"Diaper",'Raw Log'!$D$5:$D$1538,"Poop")+COUNTIFS('Raw Log'!$F$5:$F$1538,A37,'Raw Log'!$B$5:$B$1538,"Diaper",'Raw Log'!$D$5:$D$1538,"Both"))</f>
        <v>1</v>
      </c>
      <c r="J37" s="19" t="n">
        <f aca="false">COUNTIFS('Raw Log'!$F$5:$F$1538,A37,'Raw Log'!$B$5:$B$1538,"Diaper")</f>
        <v>7</v>
      </c>
      <c r="K37" s="19" t="n">
        <f aca="false">J37-COUNTIFS('Raw Log'!$F$5:$F$1538,A37,'Raw Log'!$B$5:$B$1538,"Diaper",'Raw Log'!$D$5:$D$1538,"Pee")-COUNTIFS('Raw Log'!$F$5:$F$1538,A37,'Raw Log'!$B$5:$B$1538,"Diaper",'Raw Log'!$D$5:$D$1538,"Poop")-COUNTIFS('Raw Log'!$F$5:$F$1538,A37,'Raw Log'!$B$5:$B$1538,"Diaper",'Raw Log'!$D$5:$D$1538,"Both")</f>
        <v>0</v>
      </c>
      <c r="L37" s="19" t="n">
        <f aca="false">COUNTIFS('Sleep Detail'!$A$5:$A$285,A37,'Sleep Detail'!$B$5:$B$285,"Nap")</f>
        <v>0</v>
      </c>
      <c r="M37" s="11" t="n">
        <f aca="false">SUMIFS('Sleep Detail'!$E$5:$E$285,'Sleep Detail'!$A$5:$A$285,A37,'Sleep Detail'!$B$5:$B$285,"Nap")</f>
        <v>0</v>
      </c>
      <c r="N37" s="18" t="n">
        <f aca="false">IF(COUNTIFS('Sleep Detail'!$A$5:$A$285,A37,'Sleep Detail'!$B$5:$B$285,"Night")=0,"",_xlfn.MINIFS('Sleep Detail'!$C$5:$C$285,'Sleep Detail'!$A$5:$A$285,A37,'Sleep Detail'!$B$5:$B$285,"Night"))</f>
        <v>46281.0208333333</v>
      </c>
      <c r="O37" s="18" t="n">
        <f aca="false">IF(COUNTIFS('Sleep Detail'!$A$5:$A$285,A37,'Sleep Detail'!$B$5:$B$285,"Night")=0,"",_xlfn.MAXIFS('Sleep Detail'!$D$5:$D$285,'Sleep Detail'!$A$5:$A$285,A37,'Sleep Detail'!$B$5:$B$285,"Night"))</f>
        <v>46281.2708333333</v>
      </c>
      <c r="P37" s="11" t="n">
        <f aca="false">IF(COUNTIFS('Sleep Detail'!$A$5:$A$285,A37,'Sleep Detail'!$B$5:$B$285,"Night")=0,"",SUMIFS('Sleep Detail'!$E$5:$E$285,'Sleep Detail'!$A$5:$A$285,A37,'Sleep Detail'!$B$5:$B$285,"Night"))</f>
        <v>6</v>
      </c>
      <c r="Q37" s="11" t="n">
        <f aca="false">IF(P37="","",M37+P37)</f>
        <v>6</v>
      </c>
      <c r="R37" s="19" t="n">
        <f aca="false">COUNTIFS('Raw Log'!$F$5:$F$1538,A37,'Raw Log'!$B$5:$B$1538,"Medicine")</f>
        <v>3</v>
      </c>
      <c r="S37" s="11" t="n">
        <f aca="false">IF(N37="","",MOD(N37-0.5,1)*24)</f>
        <v>12.5000000000582</v>
      </c>
      <c r="T37" s="18" t="n">
        <f aca="false">IF(O37="","",MOD(O37,1))</f>
        <v>0.270833333343035</v>
      </c>
    </row>
    <row r="38" customFormat="false" ht="15" hidden="false" customHeight="false" outlineLevel="0" collapsed="false">
      <c r="A38" s="26" t="n">
        <v>46281</v>
      </c>
      <c r="B38" s="27" t="n">
        <f aca="false">A38-WEEKDAY(A38,3)</f>
        <v>46279</v>
      </c>
      <c r="C38" s="19" t="s">
        <v>40</v>
      </c>
      <c r="D38" s="19" t="n">
        <f aca="false">COUNTIFS('Raw Log'!$F$5:$F$1538,A38,'Raw Log'!$B$5:$B$1538,"Feed")</f>
        <v>5</v>
      </c>
      <c r="E38" s="19" t="n">
        <f aca="false">COUNTIFS('Raw Log'!$F$5:$F$1538,A38,'Raw Log'!$B$5:$B$1538,"Feed",'Raw Log'!$C$5:$C$1538,"&gt;0")</f>
        <v>5</v>
      </c>
      <c r="F38" s="19" t="n">
        <f aca="false">IF(E38=0,"",SUMIFS('Raw Log'!$C$5:$C$1538,'Raw Log'!$F$5:$F$1538,A38,'Raw Log'!$B$5:$B$1538,"Feed"))</f>
        <v>26</v>
      </c>
      <c r="G38" s="11" t="n">
        <f aca="false">IF(E38=0,"",F38/E38)</f>
        <v>5.2</v>
      </c>
      <c r="H38" s="19" t="n">
        <f aca="false">IF(K38=J38,"",COUNTIFS('Raw Log'!$F$5:$F$1538,A38,'Raw Log'!$B$5:$B$1538,"Diaper",'Raw Log'!$D$5:$D$1538,"Pee")+COUNTIFS('Raw Log'!$F$5:$F$1538,A38,'Raw Log'!$B$5:$B$1538,"Diaper",'Raw Log'!$D$5:$D$1538,"Both"))</f>
        <v>7</v>
      </c>
      <c r="I38" s="19" t="n">
        <f aca="false">IF(K38=J38,"",COUNTIFS('Raw Log'!$F$5:$F$1538,A38,'Raw Log'!$B$5:$B$1538,"Diaper",'Raw Log'!$D$5:$D$1538,"Poop")+COUNTIFS('Raw Log'!$F$5:$F$1538,A38,'Raw Log'!$B$5:$B$1538,"Diaper",'Raw Log'!$D$5:$D$1538,"Both"))</f>
        <v>1</v>
      </c>
      <c r="J38" s="19" t="n">
        <f aca="false">COUNTIFS('Raw Log'!$F$5:$F$1538,A38,'Raw Log'!$B$5:$B$1538,"Diaper")</f>
        <v>8</v>
      </c>
      <c r="K38" s="19" t="n">
        <f aca="false">J38-COUNTIFS('Raw Log'!$F$5:$F$1538,A38,'Raw Log'!$B$5:$B$1538,"Diaper",'Raw Log'!$D$5:$D$1538,"Pee")-COUNTIFS('Raw Log'!$F$5:$F$1538,A38,'Raw Log'!$B$5:$B$1538,"Diaper",'Raw Log'!$D$5:$D$1538,"Poop")-COUNTIFS('Raw Log'!$F$5:$F$1538,A38,'Raw Log'!$B$5:$B$1538,"Diaper",'Raw Log'!$D$5:$D$1538,"Both")</f>
        <v>0</v>
      </c>
      <c r="L38" s="19" t="n">
        <f aca="false">COUNTIFS('Sleep Detail'!$A$5:$A$285,A38,'Sleep Detail'!$B$5:$B$285,"Nap")</f>
        <v>1</v>
      </c>
      <c r="M38" s="11" t="n">
        <f aca="false">SUMIFS('Sleep Detail'!$E$5:$E$285,'Sleep Detail'!$A$5:$A$285,A38,'Sleep Detail'!$B$5:$B$285,"Nap")</f>
        <v>0.75</v>
      </c>
      <c r="N38" s="18" t="n">
        <f aca="false">IF(COUNTIFS('Sleep Detail'!$A$5:$A$285,A38,'Sleep Detail'!$B$5:$B$285,"Night")=0,"",_xlfn.MINIFS('Sleep Detail'!$C$5:$C$285,'Sleep Detail'!$A$5:$A$285,A38,'Sleep Detail'!$B$5:$B$285,"Night"))</f>
        <v>46282.03125</v>
      </c>
      <c r="O38" s="18" t="n">
        <f aca="false">IF(COUNTIFS('Sleep Detail'!$A$5:$A$285,A38,'Sleep Detail'!$B$5:$B$285,"Night")=0,"",_xlfn.MAXIFS('Sleep Detail'!$D$5:$D$285,'Sleep Detail'!$A$5:$A$285,A38,'Sleep Detail'!$B$5:$B$285,"Night"))</f>
        <v>46282.28125</v>
      </c>
      <c r="P38" s="11" t="n">
        <f aca="false">IF(COUNTIFS('Sleep Detail'!$A$5:$A$285,A38,'Sleep Detail'!$B$5:$B$285,"Night")=0,"",SUMIFS('Sleep Detail'!$E$5:$E$285,'Sleep Detail'!$A$5:$A$285,A38,'Sleep Detail'!$B$5:$B$285,"Night"))</f>
        <v>6</v>
      </c>
      <c r="Q38" s="11" t="n">
        <f aca="false">IF(P38="","",M38+P38)</f>
        <v>6.75</v>
      </c>
      <c r="R38" s="19" t="n">
        <f aca="false">COUNTIFS('Raw Log'!$F$5:$F$1538,A38,'Raw Log'!$B$5:$B$1538,"Medicine")</f>
        <v>3</v>
      </c>
      <c r="S38" s="11" t="n">
        <f aca="false">IF(N38="","",MOD(N38-0.5,1)*24)</f>
        <v>12.75</v>
      </c>
      <c r="T38" s="18" t="n">
        <f aca="false">IF(O38="","",MOD(O38,1))</f>
        <v>0.28125</v>
      </c>
    </row>
    <row r="39" customFormat="false" ht="15" hidden="false" customHeight="false" outlineLevel="0" collapsed="false">
      <c r="A39" s="26" t="n">
        <v>46282</v>
      </c>
      <c r="B39" s="27" t="n">
        <f aca="false">A39-WEEKDAY(A39,3)</f>
        <v>46279</v>
      </c>
      <c r="C39" s="19" t="s">
        <v>40</v>
      </c>
      <c r="D39" s="19" t="n">
        <f aca="false">COUNTIFS('Raw Log'!$F$5:$F$1538,A39,'Raw Log'!$B$5:$B$1538,"Feed")</f>
        <v>6</v>
      </c>
      <c r="E39" s="19" t="n">
        <f aca="false">COUNTIFS('Raw Log'!$F$5:$F$1538,A39,'Raw Log'!$B$5:$B$1538,"Feed",'Raw Log'!$C$5:$C$1538,"&gt;0")</f>
        <v>6</v>
      </c>
      <c r="F39" s="19" t="n">
        <f aca="false">IF(E39=0,"",SUMIFS('Raw Log'!$C$5:$C$1538,'Raw Log'!$F$5:$F$1538,A39,'Raw Log'!$B$5:$B$1538,"Feed"))</f>
        <v>30</v>
      </c>
      <c r="G39" s="11" t="n">
        <f aca="false">IF(E39=0,"",F39/E39)</f>
        <v>5</v>
      </c>
      <c r="H39" s="19" t="n">
        <f aca="false">IF(K39=J39,"",COUNTIFS('Raw Log'!$F$5:$F$1538,A39,'Raw Log'!$B$5:$B$1538,"Diaper",'Raw Log'!$D$5:$D$1538,"Pee")+COUNTIFS('Raw Log'!$F$5:$F$1538,A39,'Raw Log'!$B$5:$B$1538,"Diaper",'Raw Log'!$D$5:$D$1538,"Both"))</f>
        <v>4</v>
      </c>
      <c r="I39" s="19" t="n">
        <f aca="false">IF(K39=J39,"",COUNTIFS('Raw Log'!$F$5:$F$1538,A39,'Raw Log'!$B$5:$B$1538,"Diaper",'Raw Log'!$D$5:$D$1538,"Poop")+COUNTIFS('Raw Log'!$F$5:$F$1538,A39,'Raw Log'!$B$5:$B$1538,"Diaper",'Raw Log'!$D$5:$D$1538,"Both"))</f>
        <v>3</v>
      </c>
      <c r="J39" s="19" t="n">
        <f aca="false">COUNTIFS('Raw Log'!$F$5:$F$1538,A39,'Raw Log'!$B$5:$B$1538,"Diaper")</f>
        <v>6</v>
      </c>
      <c r="K39" s="19" t="n">
        <f aca="false">J39-COUNTIFS('Raw Log'!$F$5:$F$1538,A39,'Raw Log'!$B$5:$B$1538,"Diaper",'Raw Log'!$D$5:$D$1538,"Pee")-COUNTIFS('Raw Log'!$F$5:$F$1538,A39,'Raw Log'!$B$5:$B$1538,"Diaper",'Raw Log'!$D$5:$D$1538,"Poop")-COUNTIFS('Raw Log'!$F$5:$F$1538,A39,'Raw Log'!$B$5:$B$1538,"Diaper",'Raw Log'!$D$5:$D$1538,"Both")</f>
        <v>0</v>
      </c>
      <c r="L39" s="19" t="n">
        <f aca="false">COUNTIFS('Sleep Detail'!$A$5:$A$285,A39,'Sleep Detail'!$B$5:$B$285,"Nap")</f>
        <v>2</v>
      </c>
      <c r="M39" s="11" t="n">
        <f aca="false">SUMIFS('Sleep Detail'!$E$5:$E$285,'Sleep Detail'!$A$5:$A$285,A39,'Sleep Detail'!$B$5:$B$285,"Nap")</f>
        <v>3.85</v>
      </c>
      <c r="N39" s="18" t="n">
        <f aca="false">IF(COUNTIFS('Sleep Detail'!$A$5:$A$285,A39,'Sleep Detail'!$B$5:$B$285,"Night")=0,"",_xlfn.MINIFS('Sleep Detail'!$C$5:$C$285,'Sleep Detail'!$A$5:$A$285,A39,'Sleep Detail'!$B$5:$B$285,"Night"))</f>
        <v>46283.0416666667</v>
      </c>
      <c r="O39" s="18" t="n">
        <f aca="false">IF(COUNTIFS('Sleep Detail'!$A$5:$A$285,A39,'Sleep Detail'!$B$5:$B$285,"Night")=0,"",_xlfn.MAXIFS('Sleep Detail'!$D$5:$D$285,'Sleep Detail'!$A$5:$A$285,A39,'Sleep Detail'!$B$5:$B$285,"Night"))</f>
        <v>46283.3333333333</v>
      </c>
      <c r="P39" s="11" t="n">
        <f aca="false">IF(COUNTIFS('Sleep Detail'!$A$5:$A$285,A39,'Sleep Detail'!$B$5:$B$285,"Night")=0,"",SUMIFS('Sleep Detail'!$E$5:$E$285,'Sleep Detail'!$A$5:$A$285,A39,'Sleep Detail'!$B$5:$B$285,"Night"))</f>
        <v>7.00000000046556</v>
      </c>
      <c r="Q39" s="11" t="n">
        <f aca="false">IF(P39="","",M39+P39)</f>
        <v>10.8500000004656</v>
      </c>
      <c r="R39" s="19" t="n">
        <f aca="false">COUNTIFS('Raw Log'!$F$5:$F$1538,A39,'Raw Log'!$B$5:$B$1538,"Medicine")</f>
        <v>3</v>
      </c>
      <c r="S39" s="11" t="n">
        <f aca="false">IF(N39="","",MOD(N39-0.5,1)*24)</f>
        <v>12.9999999999418</v>
      </c>
      <c r="T39" s="18" t="n">
        <f aca="false">IF(O39="","",MOD(O39,1))</f>
        <v>0.333333333343035</v>
      </c>
    </row>
    <row r="40" customFormat="false" ht="15" hidden="false" customHeight="false" outlineLevel="0" collapsed="false">
      <c r="A40" s="26" t="n">
        <v>46283</v>
      </c>
      <c r="B40" s="27" t="n">
        <f aca="false">A40-WEEKDAY(A40,3)</f>
        <v>46279</v>
      </c>
      <c r="C40" s="19" t="s">
        <v>40</v>
      </c>
      <c r="D40" s="19" t="n">
        <f aca="false">COUNTIFS('Raw Log'!$F$5:$F$1538,A40,'Raw Log'!$B$5:$B$1538,"Feed")</f>
        <v>6</v>
      </c>
      <c r="E40" s="19" t="n">
        <f aca="false">COUNTIFS('Raw Log'!$F$5:$F$1538,A40,'Raw Log'!$B$5:$B$1538,"Feed",'Raw Log'!$C$5:$C$1538,"&gt;0")</f>
        <v>6</v>
      </c>
      <c r="F40" s="19" t="n">
        <f aca="false">IF(E40=0,"",SUMIFS('Raw Log'!$C$5:$C$1538,'Raw Log'!$F$5:$F$1538,A40,'Raw Log'!$B$5:$B$1538,"Feed"))</f>
        <v>33</v>
      </c>
      <c r="G40" s="11" t="n">
        <f aca="false">IF(E40=0,"",F40/E40)</f>
        <v>5.5</v>
      </c>
      <c r="H40" s="19" t="n">
        <f aca="false">IF(K40=J40,"",COUNTIFS('Raw Log'!$F$5:$F$1538,A40,'Raw Log'!$B$5:$B$1538,"Diaper",'Raw Log'!$D$5:$D$1538,"Pee")+COUNTIFS('Raw Log'!$F$5:$F$1538,A40,'Raw Log'!$B$5:$B$1538,"Diaper",'Raw Log'!$D$5:$D$1538,"Both"))</f>
        <v>3</v>
      </c>
      <c r="I40" s="19" t="n">
        <f aca="false">IF(K40=J40,"",COUNTIFS('Raw Log'!$F$5:$F$1538,A40,'Raw Log'!$B$5:$B$1538,"Diaper",'Raw Log'!$D$5:$D$1538,"Poop")+COUNTIFS('Raw Log'!$F$5:$F$1538,A40,'Raw Log'!$B$5:$B$1538,"Diaper",'Raw Log'!$D$5:$D$1538,"Both"))</f>
        <v>2</v>
      </c>
      <c r="J40" s="19" t="n">
        <f aca="false">COUNTIFS('Raw Log'!$F$5:$F$1538,A40,'Raw Log'!$B$5:$B$1538,"Diaper")</f>
        <v>5</v>
      </c>
      <c r="K40" s="19" t="n">
        <f aca="false">J40-COUNTIFS('Raw Log'!$F$5:$F$1538,A40,'Raw Log'!$B$5:$B$1538,"Diaper",'Raw Log'!$D$5:$D$1538,"Pee")-COUNTIFS('Raw Log'!$F$5:$F$1538,A40,'Raw Log'!$B$5:$B$1538,"Diaper",'Raw Log'!$D$5:$D$1538,"Poop")-COUNTIFS('Raw Log'!$F$5:$F$1538,A40,'Raw Log'!$B$5:$B$1538,"Diaper",'Raw Log'!$D$5:$D$1538,"Both")</f>
        <v>0</v>
      </c>
      <c r="L40" s="19" t="n">
        <f aca="false">COUNTIFS('Sleep Detail'!$A$5:$A$285,A40,'Sleep Detail'!$B$5:$B$285,"Nap")</f>
        <v>1</v>
      </c>
      <c r="M40" s="11" t="n">
        <f aca="false">SUMIFS('Sleep Detail'!$E$5:$E$285,'Sleep Detail'!$A$5:$A$285,A40,'Sleep Detail'!$B$5:$B$285,"Nap")</f>
        <v>0.983333333333333</v>
      </c>
      <c r="N40" s="18" t="n">
        <f aca="false">IF(COUNTIFS('Sleep Detail'!$A$5:$A$285,A40,'Sleep Detail'!$B$5:$B$285,"Night")=0,"",_xlfn.MINIFS('Sleep Detail'!$C$5:$C$285,'Sleep Detail'!$A$5:$A$285,A40,'Sleep Detail'!$B$5:$B$285,"Night"))</f>
        <v>46284.0375</v>
      </c>
      <c r="O40" s="18" t="n">
        <f aca="false">IF(COUNTIFS('Sleep Detail'!$A$5:$A$285,A40,'Sleep Detail'!$B$5:$B$285,"Night")=0,"",_xlfn.MAXIFS('Sleep Detail'!$D$5:$D$285,'Sleep Detail'!$A$5:$A$285,A40,'Sleep Detail'!$B$5:$B$285,"Night"))</f>
        <v>46284.3375</v>
      </c>
      <c r="P40" s="11" t="n">
        <f aca="false">IF(COUNTIFS('Sleep Detail'!$A$5:$A$285,A40,'Sleep Detail'!$B$5:$B$285,"Night")=0,"",SUMIFS('Sleep Detail'!$E$5:$E$285,'Sleep Detail'!$A$5:$A$285,A40,'Sleep Detail'!$B$5:$B$285,"Night"))</f>
        <v>7.2</v>
      </c>
      <c r="Q40" s="11" t="n">
        <f aca="false">IF(P40="","",M40+P40)</f>
        <v>8.18333333333333</v>
      </c>
      <c r="R40" s="19" t="n">
        <f aca="false">COUNTIFS('Raw Log'!$F$5:$F$1538,A40,'Raw Log'!$B$5:$B$1538,"Medicine")</f>
        <v>3</v>
      </c>
      <c r="S40" s="11" t="n">
        <f aca="false">IF(N40="","",MOD(N40-0.5,1)*24)</f>
        <v>12.8999999999651</v>
      </c>
      <c r="T40" s="18" t="n">
        <f aca="false">IF(O40="","",MOD(O40,1))</f>
        <v>0.337500000001455</v>
      </c>
    </row>
    <row r="41" customFormat="false" ht="15" hidden="false" customHeight="false" outlineLevel="0" collapsed="false">
      <c r="A41" s="26" t="n">
        <v>46284</v>
      </c>
      <c r="B41" s="27" t="n">
        <f aca="false">A41-WEEKDAY(A41,3)</f>
        <v>46279</v>
      </c>
      <c r="C41" s="19" t="s">
        <v>40</v>
      </c>
      <c r="D41" s="19" t="n">
        <f aca="false">COUNTIFS('Raw Log'!$F$5:$F$1538,A41,'Raw Log'!$B$5:$B$1538,"Feed")</f>
        <v>6</v>
      </c>
      <c r="E41" s="19" t="n">
        <f aca="false">COUNTIFS('Raw Log'!$F$5:$F$1538,A41,'Raw Log'!$B$5:$B$1538,"Feed",'Raw Log'!$C$5:$C$1538,"&gt;0")</f>
        <v>6</v>
      </c>
      <c r="F41" s="19" t="n">
        <f aca="false">IF(E41=0,"",SUMIFS('Raw Log'!$C$5:$C$1538,'Raw Log'!$F$5:$F$1538,A41,'Raw Log'!$B$5:$B$1538,"Feed"))</f>
        <v>30</v>
      </c>
      <c r="G41" s="11" t="n">
        <f aca="false">IF(E41=0,"",F41/E41)</f>
        <v>5</v>
      </c>
      <c r="H41" s="19" t="n">
        <f aca="false">IF(K41=J41,"",COUNTIFS('Raw Log'!$F$5:$F$1538,A41,'Raw Log'!$B$5:$B$1538,"Diaper",'Raw Log'!$D$5:$D$1538,"Pee")+COUNTIFS('Raw Log'!$F$5:$F$1538,A41,'Raw Log'!$B$5:$B$1538,"Diaper",'Raw Log'!$D$5:$D$1538,"Both"))</f>
        <v>6</v>
      </c>
      <c r="I41" s="19" t="n">
        <f aca="false">IF(K41=J41,"",COUNTIFS('Raw Log'!$F$5:$F$1538,A41,'Raw Log'!$B$5:$B$1538,"Diaper",'Raw Log'!$D$5:$D$1538,"Poop")+COUNTIFS('Raw Log'!$F$5:$F$1538,A41,'Raw Log'!$B$5:$B$1538,"Diaper",'Raw Log'!$D$5:$D$1538,"Both"))</f>
        <v>2</v>
      </c>
      <c r="J41" s="19" t="n">
        <f aca="false">COUNTIFS('Raw Log'!$F$5:$F$1538,A41,'Raw Log'!$B$5:$B$1538,"Diaper")</f>
        <v>8</v>
      </c>
      <c r="K41" s="19" t="n">
        <f aca="false">J41-COUNTIFS('Raw Log'!$F$5:$F$1538,A41,'Raw Log'!$B$5:$B$1538,"Diaper",'Raw Log'!$D$5:$D$1538,"Pee")-COUNTIFS('Raw Log'!$F$5:$F$1538,A41,'Raw Log'!$B$5:$B$1538,"Diaper",'Raw Log'!$D$5:$D$1538,"Poop")-COUNTIFS('Raw Log'!$F$5:$F$1538,A41,'Raw Log'!$B$5:$B$1538,"Diaper",'Raw Log'!$D$5:$D$1538,"Both")</f>
        <v>0</v>
      </c>
      <c r="L41" s="19" t="n">
        <f aca="false">COUNTIFS('Sleep Detail'!$A$5:$A$285,A41,'Sleep Detail'!$B$5:$B$285,"Nap")</f>
        <v>3</v>
      </c>
      <c r="M41" s="11" t="n">
        <f aca="false">SUMIFS('Sleep Detail'!$E$5:$E$285,'Sleep Detail'!$A$5:$A$285,A41,'Sleep Detail'!$B$5:$B$285,"Nap")</f>
        <v>3.91666666666667</v>
      </c>
      <c r="N41" s="18" t="n">
        <f aca="false">IF(COUNTIFS('Sleep Detail'!$A$5:$A$285,A41,'Sleep Detail'!$B$5:$B$285,"Night")=0,"",_xlfn.MINIFS('Sleep Detail'!$C$5:$C$285,'Sleep Detail'!$A$5:$A$285,A41,'Sleep Detail'!$B$5:$B$285,"Night"))</f>
        <v>46285.0798611111</v>
      </c>
      <c r="O41" s="18" t="n">
        <f aca="false">IF(COUNTIFS('Sleep Detail'!$A$5:$A$285,A41,'Sleep Detail'!$B$5:$B$285,"Night")=0,"",_xlfn.MAXIFS('Sleep Detail'!$D$5:$D$285,'Sleep Detail'!$A$5:$A$285,A41,'Sleep Detail'!$B$5:$B$285,"Night"))</f>
        <v>46285.3777777778</v>
      </c>
      <c r="P41" s="11" t="n">
        <f aca="false">IF(COUNTIFS('Sleep Detail'!$A$5:$A$285,A41,'Sleep Detail'!$B$5:$B$285,"Night")=0,"",SUMIFS('Sleep Detail'!$E$5:$E$285,'Sleep Detail'!$A$5:$A$285,A41,'Sleep Detail'!$B$5:$B$285,"Night"))</f>
        <v>7.15</v>
      </c>
      <c r="Q41" s="11" t="n">
        <f aca="false">IF(P41="","",M41+P41)</f>
        <v>11.0666666666667</v>
      </c>
      <c r="R41" s="19" t="n">
        <f aca="false">COUNTIFS('Raw Log'!$F$5:$F$1538,A41,'Raw Log'!$B$5:$B$1538,"Medicine")</f>
        <v>3</v>
      </c>
      <c r="S41" s="11" t="n">
        <f aca="false">IF(N41="","",MOD(N41-0.5,1)*24)</f>
        <v>13.9166666666279</v>
      </c>
      <c r="T41" s="18" t="n">
        <f aca="false">IF(O41="","",MOD(O41,1))</f>
        <v>0.377777777779556</v>
      </c>
    </row>
    <row r="42" customFormat="false" ht="15" hidden="false" customHeight="false" outlineLevel="0" collapsed="false">
      <c r="A42" s="26" t="n">
        <v>46285</v>
      </c>
      <c r="B42" s="27" t="n">
        <f aca="false">A42-WEEKDAY(A42,3)</f>
        <v>46279</v>
      </c>
      <c r="C42" s="19" t="s">
        <v>40</v>
      </c>
      <c r="D42" s="19" t="n">
        <f aca="false">COUNTIFS('Raw Log'!$F$5:$F$1538,A42,'Raw Log'!$B$5:$B$1538,"Feed")</f>
        <v>6</v>
      </c>
      <c r="E42" s="19" t="n">
        <f aca="false">COUNTIFS('Raw Log'!$F$5:$F$1538,A42,'Raw Log'!$B$5:$B$1538,"Feed",'Raw Log'!$C$5:$C$1538,"&gt;0")</f>
        <v>6</v>
      </c>
      <c r="F42" s="19" t="n">
        <f aca="false">IF(E42=0,"",SUMIFS('Raw Log'!$C$5:$C$1538,'Raw Log'!$F$5:$F$1538,A42,'Raw Log'!$B$5:$B$1538,"Feed"))</f>
        <v>30</v>
      </c>
      <c r="G42" s="11" t="n">
        <f aca="false">IF(E42=0,"",F42/E42)</f>
        <v>5</v>
      </c>
      <c r="H42" s="19" t="n">
        <f aca="false">IF(K42=J42,"",COUNTIFS('Raw Log'!$F$5:$F$1538,A42,'Raw Log'!$B$5:$B$1538,"Diaper",'Raw Log'!$D$5:$D$1538,"Pee")+COUNTIFS('Raw Log'!$F$5:$F$1538,A42,'Raw Log'!$B$5:$B$1538,"Diaper",'Raw Log'!$D$5:$D$1538,"Both"))</f>
        <v>4</v>
      </c>
      <c r="I42" s="19" t="n">
        <f aca="false">IF(K42=J42,"",COUNTIFS('Raw Log'!$F$5:$F$1538,A42,'Raw Log'!$B$5:$B$1538,"Diaper",'Raw Log'!$D$5:$D$1538,"Poop")+COUNTIFS('Raw Log'!$F$5:$F$1538,A42,'Raw Log'!$B$5:$B$1538,"Diaper",'Raw Log'!$D$5:$D$1538,"Both"))</f>
        <v>2</v>
      </c>
      <c r="J42" s="19" t="n">
        <f aca="false">COUNTIFS('Raw Log'!$F$5:$F$1538,A42,'Raw Log'!$B$5:$B$1538,"Diaper")</f>
        <v>7</v>
      </c>
      <c r="K42" s="19" t="n">
        <f aca="false">J42-COUNTIFS('Raw Log'!$F$5:$F$1538,A42,'Raw Log'!$B$5:$B$1538,"Diaper",'Raw Log'!$D$5:$D$1538,"Pee")-COUNTIFS('Raw Log'!$F$5:$F$1538,A42,'Raw Log'!$B$5:$B$1538,"Diaper",'Raw Log'!$D$5:$D$1538,"Poop")-COUNTIFS('Raw Log'!$F$5:$F$1538,A42,'Raw Log'!$B$5:$B$1538,"Diaper",'Raw Log'!$D$5:$D$1538,"Both")</f>
        <v>1</v>
      </c>
      <c r="L42" s="19" t="n">
        <f aca="false">COUNTIFS('Sleep Detail'!$A$5:$A$285,A42,'Sleep Detail'!$B$5:$B$285,"Nap")</f>
        <v>3</v>
      </c>
      <c r="M42" s="11" t="n">
        <f aca="false">SUMIFS('Sleep Detail'!$E$5:$E$285,'Sleep Detail'!$A$5:$A$285,A42,'Sleep Detail'!$B$5:$B$285,"Nap")</f>
        <v>1.96666666666667</v>
      </c>
      <c r="N42" s="18" t="n">
        <f aca="false">IF(COUNTIFS('Sleep Detail'!$A$5:$A$285,A42,'Sleep Detail'!$B$5:$B$285,"Night")=0,"",_xlfn.MINIFS('Sleep Detail'!$C$5:$C$285,'Sleep Detail'!$A$5:$A$285,A42,'Sleep Detail'!$B$5:$B$285,"Night"))</f>
        <v>46286.06875</v>
      </c>
      <c r="O42" s="18" t="n">
        <f aca="false">IF(COUNTIFS('Sleep Detail'!$A$5:$A$285,A42,'Sleep Detail'!$B$5:$B$285,"Night")=0,"",_xlfn.MAXIFS('Sleep Detail'!$D$5:$D$285,'Sleep Detail'!$A$5:$A$285,A42,'Sleep Detail'!$B$5:$B$285,"Night"))</f>
        <v>46286.4270833333</v>
      </c>
      <c r="P42" s="11" t="n">
        <f aca="false">IF(COUNTIFS('Sleep Detail'!$A$5:$A$285,A42,'Sleep Detail'!$B$5:$B$285,"Night")=0,"",SUMIFS('Sleep Detail'!$E$5:$E$285,'Sleep Detail'!$A$5:$A$285,A42,'Sleep Detail'!$B$5:$B$285,"Night"))</f>
        <v>8.6</v>
      </c>
      <c r="Q42" s="11" t="n">
        <f aca="false">IF(P42="","",M42+P42)</f>
        <v>10.5666666666667</v>
      </c>
      <c r="R42" s="19" t="n">
        <f aca="false">COUNTIFS('Raw Log'!$F$5:$F$1538,A42,'Raw Log'!$B$5:$B$1538,"Medicine")</f>
        <v>3</v>
      </c>
      <c r="S42" s="11" t="n">
        <f aca="false">IF(N42="","",MOD(N42-0.5,1)*24)</f>
        <v>13.6499999999651</v>
      </c>
      <c r="T42" s="18" t="n">
        <f aca="false">IF(O42="","",MOD(O42,1))</f>
        <v>0.427083333343035</v>
      </c>
    </row>
    <row r="43" customFormat="false" ht="15" hidden="false" customHeight="false" outlineLevel="0" collapsed="false">
      <c r="A43" s="26" t="n">
        <v>46286</v>
      </c>
      <c r="B43" s="27" t="n">
        <f aca="false">A43-WEEKDAY(A43,3)</f>
        <v>46286</v>
      </c>
      <c r="C43" s="19" t="s">
        <v>40</v>
      </c>
      <c r="D43" s="19" t="n">
        <f aca="false">COUNTIFS('Raw Log'!$F$5:$F$1538,A43,'Raw Log'!$B$5:$B$1538,"Feed")</f>
        <v>5</v>
      </c>
      <c r="E43" s="19" t="n">
        <f aca="false">COUNTIFS('Raw Log'!$F$5:$F$1538,A43,'Raw Log'!$B$5:$B$1538,"Feed",'Raw Log'!$C$5:$C$1538,"&gt;0")</f>
        <v>5</v>
      </c>
      <c r="F43" s="19" t="n">
        <f aca="false">IF(E43=0,"",SUMIFS('Raw Log'!$C$5:$C$1538,'Raw Log'!$F$5:$F$1538,A43,'Raw Log'!$B$5:$B$1538,"Feed"))</f>
        <v>25</v>
      </c>
      <c r="G43" s="11" t="n">
        <f aca="false">IF(E43=0,"",F43/E43)</f>
        <v>5</v>
      </c>
      <c r="H43" s="19" t="n">
        <f aca="false">IF(K43=J43,"",COUNTIFS('Raw Log'!$F$5:$F$1538,A43,'Raw Log'!$B$5:$B$1538,"Diaper",'Raw Log'!$D$5:$D$1538,"Pee")+COUNTIFS('Raw Log'!$F$5:$F$1538,A43,'Raw Log'!$B$5:$B$1538,"Diaper",'Raw Log'!$D$5:$D$1538,"Both"))</f>
        <v>5</v>
      </c>
      <c r="I43" s="19" t="n">
        <f aca="false">IF(K43=J43,"",COUNTIFS('Raw Log'!$F$5:$F$1538,A43,'Raw Log'!$B$5:$B$1538,"Diaper",'Raw Log'!$D$5:$D$1538,"Poop")+COUNTIFS('Raw Log'!$F$5:$F$1538,A43,'Raw Log'!$B$5:$B$1538,"Diaper",'Raw Log'!$D$5:$D$1538,"Both"))</f>
        <v>1</v>
      </c>
      <c r="J43" s="19" t="n">
        <f aca="false">COUNTIFS('Raw Log'!$F$5:$F$1538,A43,'Raw Log'!$B$5:$B$1538,"Diaper")</f>
        <v>6</v>
      </c>
      <c r="K43" s="19" t="n">
        <f aca="false">J43-COUNTIFS('Raw Log'!$F$5:$F$1538,A43,'Raw Log'!$B$5:$B$1538,"Diaper",'Raw Log'!$D$5:$D$1538,"Pee")-COUNTIFS('Raw Log'!$F$5:$F$1538,A43,'Raw Log'!$B$5:$B$1538,"Diaper",'Raw Log'!$D$5:$D$1538,"Poop")-COUNTIFS('Raw Log'!$F$5:$F$1538,A43,'Raw Log'!$B$5:$B$1538,"Diaper",'Raw Log'!$D$5:$D$1538,"Both")</f>
        <v>0</v>
      </c>
      <c r="L43" s="19" t="n">
        <f aca="false">COUNTIFS('Sleep Detail'!$A$5:$A$285,A43,'Sleep Detail'!$B$5:$B$285,"Nap")</f>
        <v>3</v>
      </c>
      <c r="M43" s="11" t="n">
        <f aca="false">SUMIFS('Sleep Detail'!$E$5:$E$285,'Sleep Detail'!$A$5:$A$285,A43,'Sleep Detail'!$B$5:$B$285,"Nap")</f>
        <v>2.86666666666667</v>
      </c>
      <c r="N43" s="18" t="n">
        <f aca="false">IF(COUNTIFS('Sleep Detail'!$A$5:$A$285,A43,'Sleep Detail'!$B$5:$B$285,"Night")=0,"",_xlfn.MINIFS('Sleep Detail'!$C$5:$C$285,'Sleep Detail'!$A$5:$A$285,A43,'Sleep Detail'!$B$5:$B$285,"Night"))</f>
        <v>46287.0354166667</v>
      </c>
      <c r="O43" s="18" t="n">
        <f aca="false">IF(COUNTIFS('Sleep Detail'!$A$5:$A$285,A43,'Sleep Detail'!$B$5:$B$285,"Night")=0,"",_xlfn.MAXIFS('Sleep Detail'!$D$5:$D$285,'Sleep Detail'!$A$5:$A$285,A43,'Sleep Detail'!$B$5:$B$285,"Night"))</f>
        <v>46287.33125</v>
      </c>
      <c r="P43" s="11" t="n">
        <f aca="false">IF(COUNTIFS('Sleep Detail'!$A$5:$A$285,A43,'Sleep Detail'!$B$5:$B$285,"Night")=0,"",SUMIFS('Sleep Detail'!$E$5:$E$285,'Sleep Detail'!$A$5:$A$285,A43,'Sleep Detail'!$B$5:$B$285,"Night"))</f>
        <v>7.1</v>
      </c>
      <c r="Q43" s="11" t="n">
        <f aca="false">IF(P43="","",M43+P43)</f>
        <v>9.96666666666667</v>
      </c>
      <c r="R43" s="19" t="n">
        <f aca="false">COUNTIFS('Raw Log'!$F$5:$F$1538,A43,'Raw Log'!$B$5:$B$1538,"Medicine")</f>
        <v>3</v>
      </c>
      <c r="S43" s="11" t="n">
        <f aca="false">IF(N43="","",MOD(N43-0.5,1)*24)</f>
        <v>12.8499999999767</v>
      </c>
      <c r="T43" s="18" t="n">
        <f aca="false">IF(O43="","",MOD(O43,1))</f>
        <v>0.33125000000291</v>
      </c>
    </row>
    <row r="44" customFormat="false" ht="15" hidden="false" customHeight="false" outlineLevel="0" collapsed="false">
      <c r="A44" s="26" t="n">
        <v>46287</v>
      </c>
      <c r="B44" s="27" t="n">
        <f aca="false">A44-WEEKDAY(A44,3)</f>
        <v>46286</v>
      </c>
      <c r="C44" s="19" t="s">
        <v>40</v>
      </c>
      <c r="D44" s="19" t="n">
        <f aca="false">COUNTIFS('Raw Log'!$F$5:$F$1538,A44,'Raw Log'!$B$5:$B$1538,"Feed")</f>
        <v>6</v>
      </c>
      <c r="E44" s="19" t="n">
        <f aca="false">COUNTIFS('Raw Log'!$F$5:$F$1538,A44,'Raw Log'!$B$5:$B$1538,"Feed",'Raw Log'!$C$5:$C$1538,"&gt;0")</f>
        <v>6</v>
      </c>
      <c r="F44" s="19" t="n">
        <f aca="false">IF(E44=0,"",SUMIFS('Raw Log'!$C$5:$C$1538,'Raw Log'!$F$5:$F$1538,A44,'Raw Log'!$B$5:$B$1538,"Feed"))</f>
        <v>30</v>
      </c>
      <c r="G44" s="11" t="n">
        <f aca="false">IF(E44=0,"",F44/E44)</f>
        <v>5</v>
      </c>
      <c r="H44" s="19" t="n">
        <f aca="false">IF(K44=J44,"",COUNTIFS('Raw Log'!$F$5:$F$1538,A44,'Raw Log'!$B$5:$B$1538,"Diaper",'Raw Log'!$D$5:$D$1538,"Pee")+COUNTIFS('Raw Log'!$F$5:$F$1538,A44,'Raw Log'!$B$5:$B$1538,"Diaper",'Raw Log'!$D$5:$D$1538,"Both"))</f>
        <v>4</v>
      </c>
      <c r="I44" s="19" t="n">
        <f aca="false">IF(K44=J44,"",COUNTIFS('Raw Log'!$F$5:$F$1538,A44,'Raw Log'!$B$5:$B$1538,"Diaper",'Raw Log'!$D$5:$D$1538,"Poop")+COUNTIFS('Raw Log'!$F$5:$F$1538,A44,'Raw Log'!$B$5:$B$1538,"Diaper",'Raw Log'!$D$5:$D$1538,"Both"))</f>
        <v>2</v>
      </c>
      <c r="J44" s="19" t="n">
        <f aca="false">COUNTIFS('Raw Log'!$F$5:$F$1538,A44,'Raw Log'!$B$5:$B$1538,"Diaper")</f>
        <v>6</v>
      </c>
      <c r="K44" s="19" t="n">
        <f aca="false">J44-COUNTIFS('Raw Log'!$F$5:$F$1538,A44,'Raw Log'!$B$5:$B$1538,"Diaper",'Raw Log'!$D$5:$D$1538,"Pee")-COUNTIFS('Raw Log'!$F$5:$F$1538,A44,'Raw Log'!$B$5:$B$1538,"Diaper",'Raw Log'!$D$5:$D$1538,"Poop")-COUNTIFS('Raw Log'!$F$5:$F$1538,A44,'Raw Log'!$B$5:$B$1538,"Diaper",'Raw Log'!$D$5:$D$1538,"Both")</f>
        <v>0</v>
      </c>
      <c r="L44" s="19" t="n">
        <f aca="false">COUNTIFS('Sleep Detail'!$A$5:$A$285,A44,'Sleep Detail'!$B$5:$B$285,"Nap")</f>
        <v>3</v>
      </c>
      <c r="M44" s="11" t="n">
        <f aca="false">SUMIFS('Sleep Detail'!$E$5:$E$285,'Sleep Detail'!$A$5:$A$285,A44,'Sleep Detail'!$B$5:$B$285,"Nap")</f>
        <v>2.1</v>
      </c>
      <c r="N44" s="18" t="n">
        <f aca="false">IF(COUNTIFS('Sleep Detail'!$A$5:$A$285,A44,'Sleep Detail'!$B$5:$B$285,"Night")=0,"",_xlfn.MINIFS('Sleep Detail'!$C$5:$C$285,'Sleep Detail'!$A$5:$A$285,A44,'Sleep Detail'!$B$5:$B$285,"Night"))</f>
        <v>46287.9784722222</v>
      </c>
      <c r="O44" s="18" t="n">
        <f aca="false">IF(COUNTIFS('Sleep Detail'!$A$5:$A$285,A44,'Sleep Detail'!$B$5:$B$285,"Night")=0,"",_xlfn.MAXIFS('Sleep Detail'!$D$5:$D$285,'Sleep Detail'!$A$5:$A$285,A44,'Sleep Detail'!$B$5:$B$285,"Night"))</f>
        <v>46288.2916666667</v>
      </c>
      <c r="P44" s="11" t="n">
        <f aca="false">IF(COUNTIFS('Sleep Detail'!$A$5:$A$285,A44,'Sleep Detail'!$B$5:$B$285,"Night")=0,"",SUMIFS('Sleep Detail'!$E$5:$E$285,'Sleep Detail'!$A$5:$A$285,A44,'Sleep Detail'!$B$5:$B$285,"Night"))</f>
        <v>7.51666666666667</v>
      </c>
      <c r="Q44" s="11" t="n">
        <f aca="false">IF(P44="","",M44+P44)</f>
        <v>9.61666666666667</v>
      </c>
      <c r="R44" s="19" t="n">
        <f aca="false">COUNTIFS('Raw Log'!$F$5:$F$1538,A44,'Raw Log'!$B$5:$B$1538,"Medicine")</f>
        <v>3</v>
      </c>
      <c r="S44" s="11" t="n">
        <f aca="false">IF(N44="","",MOD(N44-0.5,1)*24)</f>
        <v>11.4833333333954</v>
      </c>
      <c r="T44" s="18" t="n">
        <f aca="false">IF(O44="","",MOD(O44,1))</f>
        <v>0.291666666656965</v>
      </c>
    </row>
    <row r="45" customFormat="false" ht="15" hidden="false" customHeight="false" outlineLevel="0" collapsed="false">
      <c r="A45" s="26" t="n">
        <v>46288</v>
      </c>
      <c r="B45" s="27" t="n">
        <f aca="false">A45-WEEKDAY(A45,3)</f>
        <v>46286</v>
      </c>
      <c r="C45" s="19" t="s">
        <v>40</v>
      </c>
      <c r="D45" s="19" t="n">
        <f aca="false">COUNTIFS('Raw Log'!$F$5:$F$1538,A45,'Raw Log'!$B$5:$B$1538,"Feed")</f>
        <v>6</v>
      </c>
      <c r="E45" s="19" t="n">
        <f aca="false">COUNTIFS('Raw Log'!$F$5:$F$1538,A45,'Raw Log'!$B$5:$B$1538,"Feed",'Raw Log'!$C$5:$C$1538,"&gt;0")</f>
        <v>6</v>
      </c>
      <c r="F45" s="19" t="n">
        <f aca="false">IF(E45=0,"",SUMIFS('Raw Log'!$C$5:$C$1538,'Raw Log'!$F$5:$F$1538,A45,'Raw Log'!$B$5:$B$1538,"Feed"))</f>
        <v>30</v>
      </c>
      <c r="G45" s="11" t="n">
        <f aca="false">IF(E45=0,"",F45/E45)</f>
        <v>5</v>
      </c>
      <c r="H45" s="19" t="n">
        <f aca="false">IF(K45=J45,"",COUNTIFS('Raw Log'!$F$5:$F$1538,A45,'Raw Log'!$B$5:$B$1538,"Diaper",'Raw Log'!$D$5:$D$1538,"Pee")+COUNTIFS('Raw Log'!$F$5:$F$1538,A45,'Raw Log'!$B$5:$B$1538,"Diaper",'Raw Log'!$D$5:$D$1538,"Both"))</f>
        <v>6</v>
      </c>
      <c r="I45" s="19" t="n">
        <f aca="false">IF(K45=J45,"",COUNTIFS('Raw Log'!$F$5:$F$1538,A45,'Raw Log'!$B$5:$B$1538,"Diaper",'Raw Log'!$D$5:$D$1538,"Poop")+COUNTIFS('Raw Log'!$F$5:$F$1538,A45,'Raw Log'!$B$5:$B$1538,"Diaper",'Raw Log'!$D$5:$D$1538,"Both"))</f>
        <v>1</v>
      </c>
      <c r="J45" s="19" t="n">
        <f aca="false">COUNTIFS('Raw Log'!$F$5:$F$1538,A45,'Raw Log'!$B$5:$B$1538,"Diaper")</f>
        <v>7</v>
      </c>
      <c r="K45" s="19" t="n">
        <f aca="false">J45-COUNTIFS('Raw Log'!$F$5:$F$1538,A45,'Raw Log'!$B$5:$B$1538,"Diaper",'Raw Log'!$D$5:$D$1538,"Pee")-COUNTIFS('Raw Log'!$F$5:$F$1538,A45,'Raw Log'!$B$5:$B$1538,"Diaper",'Raw Log'!$D$5:$D$1538,"Poop")-COUNTIFS('Raw Log'!$F$5:$F$1538,A45,'Raw Log'!$B$5:$B$1538,"Diaper",'Raw Log'!$D$5:$D$1538,"Both")</f>
        <v>0</v>
      </c>
      <c r="L45" s="19" t="n">
        <f aca="false">COUNTIFS('Sleep Detail'!$A$5:$A$285,A45,'Sleep Detail'!$B$5:$B$285,"Nap")</f>
        <v>3</v>
      </c>
      <c r="M45" s="11" t="n">
        <f aca="false">SUMIFS('Sleep Detail'!$E$5:$E$285,'Sleep Detail'!$A$5:$A$285,A45,'Sleep Detail'!$B$5:$B$285,"Nap")</f>
        <v>2.11666666666667</v>
      </c>
      <c r="N45" s="18" t="n">
        <f aca="false">IF(COUNTIFS('Sleep Detail'!$A$5:$A$285,A45,'Sleep Detail'!$B$5:$B$285,"Night")=0,"",_xlfn.MINIFS('Sleep Detail'!$C$5:$C$285,'Sleep Detail'!$A$5:$A$285,A45,'Sleep Detail'!$B$5:$B$285,"Night"))</f>
        <v>46289</v>
      </c>
      <c r="O45" s="18" t="n">
        <f aca="false">IF(COUNTIFS('Sleep Detail'!$A$5:$A$285,A45,'Sleep Detail'!$B$5:$B$285,"Night")=0,"",_xlfn.MAXIFS('Sleep Detail'!$D$5:$D$285,'Sleep Detail'!$A$5:$A$285,A45,'Sleep Detail'!$B$5:$B$285,"Night"))</f>
        <v>46289.2708333333</v>
      </c>
      <c r="P45" s="11" t="n">
        <f aca="false">IF(COUNTIFS('Sleep Detail'!$A$5:$A$285,A45,'Sleep Detail'!$B$5:$B$285,"Night")=0,"",SUMIFS('Sleep Detail'!$E$5:$E$285,'Sleep Detail'!$A$5:$A$285,A45,'Sleep Detail'!$B$5:$B$285,"Night"))</f>
        <v>6.5</v>
      </c>
      <c r="Q45" s="11" t="n">
        <f aca="false">IF(P45="","",M45+P45)</f>
        <v>8.61666666666667</v>
      </c>
      <c r="R45" s="19" t="n">
        <f aca="false">COUNTIFS('Raw Log'!$F$5:$F$1538,A45,'Raw Log'!$B$5:$B$1538,"Medicine")</f>
        <v>3</v>
      </c>
      <c r="S45" s="11" t="n">
        <f aca="false">IF(N45="","",MOD(N45-0.5,1)*24)</f>
        <v>12</v>
      </c>
      <c r="T45" s="18" t="n">
        <f aca="false">IF(O45="","",MOD(O45,1))</f>
        <v>0.270833333343035</v>
      </c>
    </row>
    <row r="46" customFormat="false" ht="15" hidden="false" customHeight="false" outlineLevel="0" collapsed="false">
      <c r="A46" s="26" t="n">
        <v>46289</v>
      </c>
      <c r="B46" s="27" t="n">
        <f aca="false">A46-WEEKDAY(A46,3)</f>
        <v>46286</v>
      </c>
      <c r="C46" s="19" t="s">
        <v>40</v>
      </c>
      <c r="D46" s="19" t="n">
        <f aca="false">COUNTIFS('Raw Log'!$F$5:$F$1538,A46,'Raw Log'!$B$5:$B$1538,"Feed")</f>
        <v>6</v>
      </c>
      <c r="E46" s="19" t="n">
        <f aca="false">COUNTIFS('Raw Log'!$F$5:$F$1538,A46,'Raw Log'!$B$5:$B$1538,"Feed",'Raw Log'!$C$5:$C$1538,"&gt;0")</f>
        <v>6</v>
      </c>
      <c r="F46" s="19" t="n">
        <f aca="false">IF(E46=0,"",SUMIFS('Raw Log'!$C$5:$C$1538,'Raw Log'!$F$5:$F$1538,A46,'Raw Log'!$B$5:$B$1538,"Feed"))</f>
        <v>30</v>
      </c>
      <c r="G46" s="11" t="n">
        <f aca="false">IF(E46=0,"",F46/E46)</f>
        <v>5</v>
      </c>
      <c r="H46" s="19" t="n">
        <f aca="false">IF(K46=J46,"",COUNTIFS('Raw Log'!$F$5:$F$1538,A46,'Raw Log'!$B$5:$B$1538,"Diaper",'Raw Log'!$D$5:$D$1538,"Pee")+COUNTIFS('Raw Log'!$F$5:$F$1538,A46,'Raw Log'!$B$5:$B$1538,"Diaper",'Raw Log'!$D$5:$D$1538,"Both"))</f>
        <v>4</v>
      </c>
      <c r="I46" s="19" t="n">
        <f aca="false">IF(K46=J46,"",COUNTIFS('Raw Log'!$F$5:$F$1538,A46,'Raw Log'!$B$5:$B$1538,"Diaper",'Raw Log'!$D$5:$D$1538,"Poop")+COUNTIFS('Raw Log'!$F$5:$F$1538,A46,'Raw Log'!$B$5:$B$1538,"Diaper",'Raw Log'!$D$5:$D$1538,"Both"))</f>
        <v>2</v>
      </c>
      <c r="J46" s="19" t="n">
        <f aca="false">COUNTIFS('Raw Log'!$F$5:$F$1538,A46,'Raw Log'!$B$5:$B$1538,"Diaper")</f>
        <v>6</v>
      </c>
      <c r="K46" s="19" t="n">
        <f aca="false">J46-COUNTIFS('Raw Log'!$F$5:$F$1538,A46,'Raw Log'!$B$5:$B$1538,"Diaper",'Raw Log'!$D$5:$D$1538,"Pee")-COUNTIFS('Raw Log'!$F$5:$F$1538,A46,'Raw Log'!$B$5:$B$1538,"Diaper",'Raw Log'!$D$5:$D$1538,"Poop")-COUNTIFS('Raw Log'!$F$5:$F$1538,A46,'Raw Log'!$B$5:$B$1538,"Diaper",'Raw Log'!$D$5:$D$1538,"Both")</f>
        <v>0</v>
      </c>
      <c r="L46" s="19" t="n">
        <f aca="false">COUNTIFS('Sleep Detail'!$A$5:$A$285,A46,'Sleep Detail'!$B$5:$B$285,"Nap")</f>
        <v>3</v>
      </c>
      <c r="M46" s="11" t="n">
        <f aca="false">SUMIFS('Sleep Detail'!$E$5:$E$285,'Sleep Detail'!$A$5:$A$285,A46,'Sleep Detail'!$B$5:$B$285,"Nap")</f>
        <v>2.91666666666667</v>
      </c>
      <c r="N46" s="18" t="n">
        <f aca="false">IF(COUNTIFS('Sleep Detail'!$A$5:$A$285,A46,'Sleep Detail'!$B$5:$B$285,"Night")=0,"",_xlfn.MINIFS('Sleep Detail'!$C$5:$C$285,'Sleep Detail'!$A$5:$A$285,A46,'Sleep Detail'!$B$5:$B$285,"Night"))</f>
        <v>46290.0381944445</v>
      </c>
      <c r="O46" s="18" t="n">
        <f aca="false">IF(COUNTIFS('Sleep Detail'!$A$5:$A$285,A46,'Sleep Detail'!$B$5:$B$285,"Night")=0,"",_xlfn.MAXIFS('Sleep Detail'!$D$5:$D$285,'Sleep Detail'!$A$5:$A$285,A46,'Sleep Detail'!$B$5:$B$285,"Night"))</f>
        <v>46290.3555555556</v>
      </c>
      <c r="P46" s="11" t="n">
        <f aca="false">IF(COUNTIFS('Sleep Detail'!$A$5:$A$285,A46,'Sleep Detail'!$B$5:$B$285,"Night")=0,"",SUMIFS('Sleep Detail'!$E$5:$E$285,'Sleep Detail'!$A$5:$A$285,A46,'Sleep Detail'!$B$5:$B$285,"Night"))</f>
        <v>7.61666666666667</v>
      </c>
      <c r="Q46" s="11" t="n">
        <f aca="false">IF(P46="","",M46+P46)</f>
        <v>10.5333333333333</v>
      </c>
      <c r="R46" s="19" t="n">
        <f aca="false">COUNTIFS('Raw Log'!$F$5:$F$1538,A46,'Raw Log'!$B$5:$B$1538,"Medicine")</f>
        <v>3</v>
      </c>
      <c r="S46" s="11" t="n">
        <f aca="false">IF(N46="","",MOD(N46-0.5,1)*24)</f>
        <v>12.9166666666861</v>
      </c>
      <c r="T46" s="18" t="n">
        <f aca="false">IF(O46="","",MOD(O46,1))</f>
        <v>0.355555555557658</v>
      </c>
    </row>
    <row r="47" customFormat="false" ht="15" hidden="false" customHeight="false" outlineLevel="0" collapsed="false">
      <c r="A47" s="26" t="n">
        <v>46290</v>
      </c>
      <c r="B47" s="27" t="n">
        <f aca="false">A47-WEEKDAY(A47,3)</f>
        <v>46286</v>
      </c>
      <c r="C47" s="19" t="s">
        <v>40</v>
      </c>
      <c r="D47" s="19" t="n">
        <f aca="false">COUNTIFS('Raw Log'!$F$5:$F$1538,A47,'Raw Log'!$B$5:$B$1538,"Feed")</f>
        <v>5</v>
      </c>
      <c r="E47" s="19" t="n">
        <f aca="false">COUNTIFS('Raw Log'!$F$5:$F$1538,A47,'Raw Log'!$B$5:$B$1538,"Feed",'Raw Log'!$C$5:$C$1538,"&gt;0")</f>
        <v>5</v>
      </c>
      <c r="F47" s="19" t="n">
        <f aca="false">IF(E47=0,"",SUMIFS('Raw Log'!$C$5:$C$1538,'Raw Log'!$F$5:$F$1538,A47,'Raw Log'!$B$5:$B$1538,"Feed"))</f>
        <v>25</v>
      </c>
      <c r="G47" s="11" t="n">
        <f aca="false">IF(E47=0,"",F47/E47)</f>
        <v>5</v>
      </c>
      <c r="H47" s="19" t="n">
        <f aca="false">IF(K47=J47,"",COUNTIFS('Raw Log'!$F$5:$F$1538,A47,'Raw Log'!$B$5:$B$1538,"Diaper",'Raw Log'!$D$5:$D$1538,"Pee")+COUNTIFS('Raw Log'!$F$5:$F$1538,A47,'Raw Log'!$B$5:$B$1538,"Diaper",'Raw Log'!$D$5:$D$1538,"Both"))</f>
        <v>3</v>
      </c>
      <c r="I47" s="19" t="n">
        <f aca="false">IF(K47=J47,"",COUNTIFS('Raw Log'!$F$5:$F$1538,A47,'Raw Log'!$B$5:$B$1538,"Diaper",'Raw Log'!$D$5:$D$1538,"Poop")+COUNTIFS('Raw Log'!$F$5:$F$1538,A47,'Raw Log'!$B$5:$B$1538,"Diaper",'Raw Log'!$D$5:$D$1538,"Both"))</f>
        <v>2</v>
      </c>
      <c r="J47" s="19" t="n">
        <f aca="false">COUNTIFS('Raw Log'!$F$5:$F$1538,A47,'Raw Log'!$B$5:$B$1538,"Diaper")</f>
        <v>5</v>
      </c>
      <c r="K47" s="19" t="n">
        <f aca="false">J47-COUNTIFS('Raw Log'!$F$5:$F$1538,A47,'Raw Log'!$B$5:$B$1538,"Diaper",'Raw Log'!$D$5:$D$1538,"Pee")-COUNTIFS('Raw Log'!$F$5:$F$1538,A47,'Raw Log'!$B$5:$B$1538,"Diaper",'Raw Log'!$D$5:$D$1538,"Poop")-COUNTIFS('Raw Log'!$F$5:$F$1538,A47,'Raw Log'!$B$5:$B$1538,"Diaper",'Raw Log'!$D$5:$D$1538,"Both")</f>
        <v>0</v>
      </c>
      <c r="L47" s="19" t="n">
        <f aca="false">COUNTIFS('Sleep Detail'!$A$5:$A$285,A47,'Sleep Detail'!$B$5:$B$285,"Nap")</f>
        <v>5</v>
      </c>
      <c r="M47" s="11" t="n">
        <f aca="false">SUMIFS('Sleep Detail'!$E$5:$E$285,'Sleep Detail'!$A$5:$A$285,A47,'Sleep Detail'!$B$5:$B$285,"Nap")</f>
        <v>4.28333333333333</v>
      </c>
      <c r="N47" s="18" t="n">
        <f aca="false">IF(COUNTIFS('Sleep Detail'!$A$5:$A$285,A47,'Sleep Detail'!$B$5:$B$285,"Night")=0,"",_xlfn.MINIFS('Sleep Detail'!$C$5:$C$285,'Sleep Detail'!$A$5:$A$285,A47,'Sleep Detail'!$B$5:$B$285,"Night"))</f>
        <v>46291.0361111111</v>
      </c>
      <c r="O47" s="18" t="n">
        <f aca="false">IF(COUNTIFS('Sleep Detail'!$A$5:$A$285,A47,'Sleep Detail'!$B$5:$B$285,"Night")=0,"",_xlfn.MAXIFS('Sleep Detail'!$D$5:$D$285,'Sleep Detail'!$A$5:$A$285,A47,'Sleep Detail'!$B$5:$B$285,"Night"))</f>
        <v>46291.3291666667</v>
      </c>
      <c r="P47" s="11" t="n">
        <f aca="false">IF(COUNTIFS('Sleep Detail'!$A$5:$A$285,A47,'Sleep Detail'!$B$5:$B$285,"Night")=0,"",SUMIFS('Sleep Detail'!$E$5:$E$285,'Sleep Detail'!$A$5:$A$285,A47,'Sleep Detail'!$B$5:$B$285,"Night"))</f>
        <v>7.03333333333333</v>
      </c>
      <c r="Q47" s="11" t="n">
        <f aca="false">IF(P47="","",M47+P47)</f>
        <v>11.3166666666667</v>
      </c>
      <c r="R47" s="19" t="n">
        <f aca="false">COUNTIFS('Raw Log'!$F$5:$F$1538,A47,'Raw Log'!$B$5:$B$1538,"Medicine")</f>
        <v>3</v>
      </c>
      <c r="S47" s="11" t="n">
        <f aca="false">IF(N47="","",MOD(N47-0.5,1)*24)</f>
        <v>12.8666666666977</v>
      </c>
      <c r="T47" s="18" t="n">
        <f aca="false">IF(O47="","",MOD(O47,1))</f>
        <v>0.329166666670062</v>
      </c>
    </row>
    <row r="48" customFormat="false" ht="15" hidden="false" customHeight="false" outlineLevel="0" collapsed="false">
      <c r="A48" s="26" t="n">
        <v>46291</v>
      </c>
      <c r="B48" s="27" t="n">
        <f aca="false">A48-WEEKDAY(A48,3)</f>
        <v>46286</v>
      </c>
      <c r="C48" s="19" t="s">
        <v>40</v>
      </c>
      <c r="D48" s="19" t="n">
        <f aca="false">COUNTIFS('Raw Log'!$F$5:$F$1538,A48,'Raw Log'!$B$5:$B$1538,"Feed")</f>
        <v>6</v>
      </c>
      <c r="E48" s="19" t="n">
        <f aca="false">COUNTIFS('Raw Log'!$F$5:$F$1538,A48,'Raw Log'!$B$5:$B$1538,"Feed",'Raw Log'!$C$5:$C$1538,"&gt;0")</f>
        <v>6</v>
      </c>
      <c r="F48" s="19" t="n">
        <f aca="false">IF(E48=0,"",SUMIFS('Raw Log'!$C$5:$C$1538,'Raw Log'!$F$5:$F$1538,A48,'Raw Log'!$B$5:$B$1538,"Feed"))</f>
        <v>30</v>
      </c>
      <c r="G48" s="11" t="n">
        <f aca="false">IF(E48=0,"",F48/E48)</f>
        <v>5</v>
      </c>
      <c r="H48" s="19" t="n">
        <f aca="false">IF(K48=J48,"",COUNTIFS('Raw Log'!$F$5:$F$1538,A48,'Raw Log'!$B$5:$B$1538,"Diaper",'Raw Log'!$D$5:$D$1538,"Pee")+COUNTIFS('Raw Log'!$F$5:$F$1538,A48,'Raw Log'!$B$5:$B$1538,"Diaper",'Raw Log'!$D$5:$D$1538,"Both"))</f>
        <v>6</v>
      </c>
      <c r="I48" s="19" t="n">
        <f aca="false">IF(K48=J48,"",COUNTIFS('Raw Log'!$F$5:$F$1538,A48,'Raw Log'!$B$5:$B$1538,"Diaper",'Raw Log'!$D$5:$D$1538,"Poop")+COUNTIFS('Raw Log'!$F$5:$F$1538,A48,'Raw Log'!$B$5:$B$1538,"Diaper",'Raw Log'!$D$5:$D$1538,"Both"))</f>
        <v>3</v>
      </c>
      <c r="J48" s="19" t="n">
        <f aca="false">COUNTIFS('Raw Log'!$F$5:$F$1538,A48,'Raw Log'!$B$5:$B$1538,"Diaper")</f>
        <v>8</v>
      </c>
      <c r="K48" s="19" t="n">
        <f aca="false">J48-COUNTIFS('Raw Log'!$F$5:$F$1538,A48,'Raw Log'!$B$5:$B$1538,"Diaper",'Raw Log'!$D$5:$D$1538,"Pee")-COUNTIFS('Raw Log'!$F$5:$F$1538,A48,'Raw Log'!$B$5:$B$1538,"Diaper",'Raw Log'!$D$5:$D$1538,"Poop")-COUNTIFS('Raw Log'!$F$5:$F$1538,A48,'Raw Log'!$B$5:$B$1538,"Diaper",'Raw Log'!$D$5:$D$1538,"Both")</f>
        <v>0</v>
      </c>
      <c r="L48" s="19" t="n">
        <f aca="false">COUNTIFS('Sleep Detail'!$A$5:$A$285,A48,'Sleep Detail'!$B$5:$B$285,"Nap")</f>
        <v>5</v>
      </c>
      <c r="M48" s="11" t="n">
        <f aca="false">SUMIFS('Sleep Detail'!$E$5:$E$285,'Sleep Detail'!$A$5:$A$285,A48,'Sleep Detail'!$B$5:$B$285,"Nap")</f>
        <v>4.95000000030639</v>
      </c>
      <c r="N48" s="18" t="n">
        <f aca="false">IF(COUNTIFS('Sleep Detail'!$A$5:$A$285,A48,'Sleep Detail'!$B$5:$B$285,"Night")=0,"",_xlfn.MINIFS('Sleep Detail'!$C$5:$C$285,'Sleep Detail'!$A$5:$A$285,A48,'Sleep Detail'!$B$5:$B$285,"Night"))</f>
        <v>46292.0534722222</v>
      </c>
      <c r="O48" s="18" t="n">
        <f aca="false">IF(COUNTIFS('Sleep Detail'!$A$5:$A$285,A48,'Sleep Detail'!$B$5:$B$285,"Night")=0,"",_xlfn.MAXIFS('Sleep Detail'!$D$5:$D$285,'Sleep Detail'!$A$5:$A$285,A48,'Sleep Detail'!$B$5:$B$285,"Night"))</f>
        <v>46292.3541666667</v>
      </c>
      <c r="P48" s="11" t="n">
        <f aca="false">IF(COUNTIFS('Sleep Detail'!$A$5:$A$285,A48,'Sleep Detail'!$B$5:$B$285,"Night")=0,"",SUMIFS('Sleep Detail'!$E$5:$E$285,'Sleep Detail'!$A$5:$A$285,A48,'Sleep Detail'!$B$5:$B$285,"Night"))</f>
        <v>7.21666666666667</v>
      </c>
      <c r="Q48" s="11" t="n">
        <f aca="false">IF(P48="","",M48+P48)</f>
        <v>12.1666666669731</v>
      </c>
      <c r="R48" s="19" t="n">
        <f aca="false">COUNTIFS('Raw Log'!$F$5:$F$1538,A48,'Raw Log'!$B$5:$B$1538,"Medicine")</f>
        <v>3</v>
      </c>
      <c r="S48" s="11" t="n">
        <f aca="false">IF(N48="","",MOD(N48-0.5,1)*24)</f>
        <v>13.2833333333256</v>
      </c>
      <c r="T48" s="18" t="n">
        <f aca="false">IF(O48="","",MOD(O48,1))</f>
        <v>0.354166666656965</v>
      </c>
    </row>
    <row r="49" customFormat="false" ht="15" hidden="false" customHeight="false" outlineLevel="0" collapsed="false">
      <c r="A49" s="26" t="n">
        <v>46292</v>
      </c>
      <c r="B49" s="27" t="n">
        <f aca="false">A49-WEEKDAY(A49,3)</f>
        <v>46286</v>
      </c>
      <c r="C49" s="19" t="s">
        <v>40</v>
      </c>
      <c r="D49" s="19" t="n">
        <f aca="false">COUNTIFS('Raw Log'!$F$5:$F$1538,A49,'Raw Log'!$B$5:$B$1538,"Feed")</f>
        <v>5</v>
      </c>
      <c r="E49" s="19" t="n">
        <f aca="false">COUNTIFS('Raw Log'!$F$5:$F$1538,A49,'Raw Log'!$B$5:$B$1538,"Feed",'Raw Log'!$C$5:$C$1538,"&gt;0")</f>
        <v>5</v>
      </c>
      <c r="F49" s="19" t="n">
        <f aca="false">IF(E49=0,"",SUMIFS('Raw Log'!$C$5:$C$1538,'Raw Log'!$F$5:$F$1538,A49,'Raw Log'!$B$5:$B$1538,"Feed"))</f>
        <v>26</v>
      </c>
      <c r="G49" s="11" t="n">
        <f aca="false">IF(E49=0,"",F49/E49)</f>
        <v>5.2</v>
      </c>
      <c r="H49" s="19" t="n">
        <f aca="false">IF(K49=J49,"",COUNTIFS('Raw Log'!$F$5:$F$1538,A49,'Raw Log'!$B$5:$B$1538,"Diaper",'Raw Log'!$D$5:$D$1538,"Pee")+COUNTIFS('Raw Log'!$F$5:$F$1538,A49,'Raw Log'!$B$5:$B$1538,"Diaper",'Raw Log'!$D$5:$D$1538,"Both"))</f>
        <v>7</v>
      </c>
      <c r="I49" s="19" t="n">
        <f aca="false">IF(K49=J49,"",COUNTIFS('Raw Log'!$F$5:$F$1538,A49,'Raw Log'!$B$5:$B$1538,"Diaper",'Raw Log'!$D$5:$D$1538,"Poop")+COUNTIFS('Raw Log'!$F$5:$F$1538,A49,'Raw Log'!$B$5:$B$1538,"Diaper",'Raw Log'!$D$5:$D$1538,"Both"))</f>
        <v>0</v>
      </c>
      <c r="J49" s="19" t="n">
        <f aca="false">COUNTIFS('Raw Log'!$F$5:$F$1538,A49,'Raw Log'!$B$5:$B$1538,"Diaper")</f>
        <v>7</v>
      </c>
      <c r="K49" s="19" t="n">
        <f aca="false">J49-COUNTIFS('Raw Log'!$F$5:$F$1538,A49,'Raw Log'!$B$5:$B$1538,"Diaper",'Raw Log'!$D$5:$D$1538,"Pee")-COUNTIFS('Raw Log'!$F$5:$F$1538,A49,'Raw Log'!$B$5:$B$1538,"Diaper",'Raw Log'!$D$5:$D$1538,"Poop")-COUNTIFS('Raw Log'!$F$5:$F$1538,A49,'Raw Log'!$B$5:$B$1538,"Diaper",'Raw Log'!$D$5:$D$1538,"Both")</f>
        <v>0</v>
      </c>
      <c r="L49" s="19" t="n">
        <f aca="false">COUNTIFS('Sleep Detail'!$A$5:$A$285,A49,'Sleep Detail'!$B$5:$B$285,"Nap")</f>
        <v>4</v>
      </c>
      <c r="M49" s="11" t="n">
        <f aca="false">SUMIFS('Sleep Detail'!$E$5:$E$285,'Sleep Detail'!$A$5:$A$285,A49,'Sleep Detail'!$B$5:$B$285,"Nap")</f>
        <v>3.83333333301889</v>
      </c>
      <c r="N49" s="18" t="str">
        <f aca="false">IF(COUNTIFS('Sleep Detail'!$A$5:$A$285,A49,'Sleep Detail'!$B$5:$B$285,"Night")=0,"",_xlfn.MINIFS('Sleep Detail'!$C$5:$C$285,'Sleep Detail'!$A$5:$A$285,A49,'Sleep Detail'!$B$5:$B$285,"Night"))</f>
        <v/>
      </c>
      <c r="O49" s="18" t="str">
        <f aca="false">IF(COUNTIFS('Sleep Detail'!$A$5:$A$285,A49,'Sleep Detail'!$B$5:$B$285,"Night")=0,"",_xlfn.MAXIFS('Sleep Detail'!$D$5:$D$285,'Sleep Detail'!$A$5:$A$285,A49,'Sleep Detail'!$B$5:$B$285,"Night"))</f>
        <v/>
      </c>
      <c r="P49" s="11" t="str">
        <f aca="false">IF(COUNTIFS('Sleep Detail'!$A$5:$A$285,A49,'Sleep Detail'!$B$5:$B$285,"Night")=0,"",SUMIFS('Sleep Detail'!$E$5:$E$285,'Sleep Detail'!$A$5:$A$285,A49,'Sleep Detail'!$B$5:$B$285,"Night"))</f>
        <v/>
      </c>
      <c r="Q49" s="11" t="str">
        <f aca="false">IF(P49="","",M49+P49)</f>
        <v/>
      </c>
      <c r="R49" s="19" t="n">
        <f aca="false">COUNTIFS('Raw Log'!$F$5:$F$1538,A49,'Raw Log'!$B$5:$B$1538,"Medicine")</f>
        <v>3</v>
      </c>
      <c r="S49" s="11" t="str">
        <f aca="false">IF(N49="","",MOD(N49-0.5,1)*24)</f>
        <v/>
      </c>
      <c r="T49" s="18" t="str">
        <f aca="false">IF(O49="","",MOD(O49,1))</f>
        <v/>
      </c>
    </row>
    <row r="50" customFormat="false" ht="15" hidden="false" customHeight="false" outlineLevel="0" collapsed="false">
      <c r="A50" s="26" t="n">
        <v>46293</v>
      </c>
      <c r="B50" s="27" t="n">
        <f aca="false">A50-WEEKDAY(A50,3)</f>
        <v>46293</v>
      </c>
      <c r="C50" s="19" t="s">
        <v>40</v>
      </c>
      <c r="D50" s="19" t="n">
        <f aca="false">COUNTIFS('Raw Log'!$F$5:$F$1538,A50,'Raw Log'!$B$5:$B$1538,"Feed")</f>
        <v>5</v>
      </c>
      <c r="E50" s="19" t="n">
        <f aca="false">COUNTIFS('Raw Log'!$F$5:$F$1538,A50,'Raw Log'!$B$5:$B$1538,"Feed",'Raw Log'!$C$5:$C$1538,"&gt;0")</f>
        <v>5</v>
      </c>
      <c r="F50" s="19" t="n">
        <f aca="false">IF(E50=0,"",SUMIFS('Raw Log'!$C$5:$C$1538,'Raw Log'!$F$5:$F$1538,A50,'Raw Log'!$B$5:$B$1538,"Feed"))</f>
        <v>27</v>
      </c>
      <c r="G50" s="11" t="n">
        <f aca="false">IF(E50=0,"",F50/E50)</f>
        <v>5.4</v>
      </c>
      <c r="H50" s="19" t="n">
        <f aca="false">IF(K50=J50,"",COUNTIFS('Raw Log'!$F$5:$F$1538,A50,'Raw Log'!$B$5:$B$1538,"Diaper",'Raw Log'!$D$5:$D$1538,"Pee")+COUNTIFS('Raw Log'!$F$5:$F$1538,A50,'Raw Log'!$B$5:$B$1538,"Diaper",'Raw Log'!$D$5:$D$1538,"Both"))</f>
        <v>6</v>
      </c>
      <c r="I50" s="19" t="n">
        <f aca="false">IF(K50=J50,"",COUNTIFS('Raw Log'!$F$5:$F$1538,A50,'Raw Log'!$B$5:$B$1538,"Diaper",'Raw Log'!$D$5:$D$1538,"Poop")+COUNTIFS('Raw Log'!$F$5:$F$1538,A50,'Raw Log'!$B$5:$B$1538,"Diaper",'Raw Log'!$D$5:$D$1538,"Both"))</f>
        <v>1</v>
      </c>
      <c r="J50" s="19" t="n">
        <f aca="false">COUNTIFS('Raw Log'!$F$5:$F$1538,A50,'Raw Log'!$B$5:$B$1538,"Diaper")</f>
        <v>7</v>
      </c>
      <c r="K50" s="19" t="n">
        <f aca="false">J50-COUNTIFS('Raw Log'!$F$5:$F$1538,A50,'Raw Log'!$B$5:$B$1538,"Diaper",'Raw Log'!$D$5:$D$1538,"Pee")-COUNTIFS('Raw Log'!$F$5:$F$1538,A50,'Raw Log'!$B$5:$B$1538,"Diaper",'Raw Log'!$D$5:$D$1538,"Poop")-COUNTIFS('Raw Log'!$F$5:$F$1538,A50,'Raw Log'!$B$5:$B$1538,"Diaper",'Raw Log'!$D$5:$D$1538,"Both")</f>
        <v>0</v>
      </c>
      <c r="L50" s="19" t="n">
        <f aca="false">COUNTIFS('Sleep Detail'!$A$5:$A$285,A50,'Sleep Detail'!$B$5:$B$285,"Nap")</f>
        <v>4</v>
      </c>
      <c r="M50" s="11" t="n">
        <f aca="false">SUMIFS('Sleep Detail'!$E$5:$E$285,'Sleep Detail'!$A$5:$A$285,A50,'Sleep Detail'!$B$5:$B$285,"Nap")</f>
        <v>5.15000000042278</v>
      </c>
      <c r="N50" s="18" t="n">
        <f aca="false">IF(COUNTIFS('Sleep Detail'!$A$5:$A$285,A50,'Sleep Detail'!$B$5:$B$285,"Night")=0,"",_xlfn.MINIFS('Sleep Detail'!$C$5:$C$285,'Sleep Detail'!$A$5:$A$285,A50,'Sleep Detail'!$B$5:$B$285,"Night"))</f>
        <v>46294.0819444444</v>
      </c>
      <c r="O50" s="18" t="n">
        <f aca="false">IF(COUNTIFS('Sleep Detail'!$A$5:$A$285,A50,'Sleep Detail'!$B$5:$B$285,"Night")=0,"",_xlfn.MAXIFS('Sleep Detail'!$D$5:$D$285,'Sleep Detail'!$A$5:$A$285,A50,'Sleep Detail'!$B$5:$B$285,"Night"))</f>
        <v>46294.3541666667</v>
      </c>
      <c r="P50" s="11" t="n">
        <f aca="false">IF(COUNTIFS('Sleep Detail'!$A$5:$A$285,A50,'Sleep Detail'!$B$5:$B$285,"Night")=0,"",SUMIFS('Sleep Detail'!$E$5:$E$285,'Sleep Detail'!$A$5:$A$285,A50,'Sleep Detail'!$B$5:$B$285,"Night"))</f>
        <v>6.53333333333333</v>
      </c>
      <c r="Q50" s="11" t="n">
        <f aca="false">IF(P50="","",M50+P50)</f>
        <v>11.6833333337561</v>
      </c>
      <c r="R50" s="19" t="n">
        <f aca="false">COUNTIFS('Raw Log'!$F$5:$F$1538,A50,'Raw Log'!$B$5:$B$1538,"Medicine")</f>
        <v>3</v>
      </c>
      <c r="S50" s="11" t="n">
        <f aca="false">IF(N50="","",MOD(N50-0.5,1)*24)</f>
        <v>13.9666666666162</v>
      </c>
      <c r="T50" s="18" t="n">
        <f aca="false">IF(O50="","",MOD(O50,1))</f>
        <v>0.354166666656965</v>
      </c>
    </row>
    <row r="51" customFormat="false" ht="15" hidden="false" customHeight="false" outlineLevel="0" collapsed="false">
      <c r="A51" s="26" t="n">
        <v>46294</v>
      </c>
      <c r="B51" s="27" t="n">
        <f aca="false">A51-WEEKDAY(A51,3)</f>
        <v>46293</v>
      </c>
      <c r="C51" s="19" t="s">
        <v>40</v>
      </c>
      <c r="D51" s="19" t="n">
        <f aca="false">COUNTIFS('Raw Log'!$F$5:$F$1538,A51,'Raw Log'!$B$5:$B$1538,"Feed")</f>
        <v>5</v>
      </c>
      <c r="E51" s="19" t="n">
        <f aca="false">COUNTIFS('Raw Log'!$F$5:$F$1538,A51,'Raw Log'!$B$5:$B$1538,"Feed",'Raw Log'!$C$5:$C$1538,"&gt;0")</f>
        <v>5</v>
      </c>
      <c r="F51" s="19" t="n">
        <f aca="false">IF(E51=0,"",SUMIFS('Raw Log'!$C$5:$C$1538,'Raw Log'!$F$5:$F$1538,A51,'Raw Log'!$B$5:$B$1538,"Feed"))</f>
        <v>25</v>
      </c>
      <c r="G51" s="11" t="n">
        <f aca="false">IF(E51=0,"",F51/E51)</f>
        <v>5</v>
      </c>
      <c r="H51" s="19" t="n">
        <f aca="false">IF(K51=J51,"",COUNTIFS('Raw Log'!$F$5:$F$1538,A51,'Raw Log'!$B$5:$B$1538,"Diaper",'Raw Log'!$D$5:$D$1538,"Pee")+COUNTIFS('Raw Log'!$F$5:$F$1538,A51,'Raw Log'!$B$5:$B$1538,"Diaper",'Raw Log'!$D$5:$D$1538,"Both"))</f>
        <v>5</v>
      </c>
      <c r="I51" s="19" t="n">
        <f aca="false">IF(K51=J51,"",COUNTIFS('Raw Log'!$F$5:$F$1538,A51,'Raw Log'!$B$5:$B$1538,"Diaper",'Raw Log'!$D$5:$D$1538,"Poop")+COUNTIFS('Raw Log'!$F$5:$F$1538,A51,'Raw Log'!$B$5:$B$1538,"Diaper",'Raw Log'!$D$5:$D$1538,"Both"))</f>
        <v>0</v>
      </c>
      <c r="J51" s="19" t="n">
        <f aca="false">COUNTIFS('Raw Log'!$F$5:$F$1538,A51,'Raw Log'!$B$5:$B$1538,"Diaper")</f>
        <v>5</v>
      </c>
      <c r="K51" s="19" t="n">
        <f aca="false">J51-COUNTIFS('Raw Log'!$F$5:$F$1538,A51,'Raw Log'!$B$5:$B$1538,"Diaper",'Raw Log'!$D$5:$D$1538,"Pee")-COUNTIFS('Raw Log'!$F$5:$F$1538,A51,'Raw Log'!$B$5:$B$1538,"Diaper",'Raw Log'!$D$5:$D$1538,"Poop")-COUNTIFS('Raw Log'!$F$5:$F$1538,A51,'Raw Log'!$B$5:$B$1538,"Diaper",'Raw Log'!$D$5:$D$1538,"Both")</f>
        <v>0</v>
      </c>
      <c r="L51" s="19" t="n">
        <f aca="false">COUNTIFS('Sleep Detail'!$A$5:$A$285,A51,'Sleep Detail'!$B$5:$B$285,"Nap")</f>
        <v>3</v>
      </c>
      <c r="M51" s="11" t="n">
        <f aca="false">SUMIFS('Sleep Detail'!$E$5:$E$285,'Sleep Detail'!$A$5:$A$285,A51,'Sleep Detail'!$B$5:$B$285,"Nap")</f>
        <v>3.15</v>
      </c>
      <c r="N51" s="18" t="n">
        <f aca="false">IF(COUNTIFS('Sleep Detail'!$A$5:$A$285,A51,'Sleep Detail'!$B$5:$B$285,"Night")=0,"",_xlfn.MINIFS('Sleep Detail'!$C$5:$C$285,'Sleep Detail'!$A$5:$A$285,A51,'Sleep Detail'!$B$5:$B$285,"Night"))</f>
        <v>46295.0673611111</v>
      </c>
      <c r="O51" s="18" t="n">
        <f aca="false">IF(COUNTIFS('Sleep Detail'!$A$5:$A$285,A51,'Sleep Detail'!$B$5:$B$285,"Night")=0,"",_xlfn.MAXIFS('Sleep Detail'!$D$5:$D$285,'Sleep Detail'!$A$5:$A$285,A51,'Sleep Detail'!$B$5:$B$285,"Night"))</f>
        <v>46295.3472222222</v>
      </c>
      <c r="P51" s="11" t="n">
        <f aca="false">IF(COUNTIFS('Sleep Detail'!$A$5:$A$285,A51,'Sleep Detail'!$B$5:$B$285,"Night")=0,"",SUMIFS('Sleep Detail'!$E$5:$E$285,'Sleep Detail'!$A$5:$A$285,A51,'Sleep Detail'!$B$5:$B$285,"Night"))</f>
        <v>6.71666666666667</v>
      </c>
      <c r="Q51" s="11" t="n">
        <f aca="false">IF(P51="","",M51+P51)</f>
        <v>9.86666666666667</v>
      </c>
      <c r="R51" s="19" t="n">
        <f aca="false">COUNTIFS('Raw Log'!$F$5:$F$1538,A51,'Raw Log'!$B$5:$B$1538,"Medicine")</f>
        <v>3</v>
      </c>
      <c r="S51" s="11" t="n">
        <f aca="false">IF(N51="","",MOD(N51-0.5,1)*24)</f>
        <v>13.6166666666977</v>
      </c>
      <c r="T51" s="18" t="n">
        <f aca="false">IF(O51="","",MOD(O51,1))</f>
        <v>0.347222222218988</v>
      </c>
    </row>
    <row r="52" customFormat="false" ht="15" hidden="false" customHeight="false" outlineLevel="0" collapsed="false">
      <c r="A52" s="26" t="n">
        <v>46295</v>
      </c>
      <c r="B52" s="27" t="n">
        <f aca="false">A52-WEEKDAY(A52,3)</f>
        <v>46293</v>
      </c>
      <c r="C52" s="19" t="s">
        <v>40</v>
      </c>
      <c r="D52" s="19" t="n">
        <f aca="false">COUNTIFS('Raw Log'!$F$5:$F$1538,A52,'Raw Log'!$B$5:$B$1538,"Feed")</f>
        <v>6</v>
      </c>
      <c r="E52" s="19" t="n">
        <f aca="false">COUNTIFS('Raw Log'!$F$5:$F$1538,A52,'Raw Log'!$B$5:$B$1538,"Feed",'Raw Log'!$C$5:$C$1538,"&gt;0")</f>
        <v>6</v>
      </c>
      <c r="F52" s="19" t="n">
        <f aca="false">IF(E52=0,"",SUMIFS('Raw Log'!$C$5:$C$1538,'Raw Log'!$F$5:$F$1538,A52,'Raw Log'!$B$5:$B$1538,"Feed"))</f>
        <v>31</v>
      </c>
      <c r="G52" s="11" t="n">
        <f aca="false">IF(E52=0,"",F52/E52)</f>
        <v>5.16666666666667</v>
      </c>
      <c r="H52" s="19" t="n">
        <f aca="false">IF(K52=J52,"",COUNTIFS('Raw Log'!$F$5:$F$1538,A52,'Raw Log'!$B$5:$B$1538,"Diaper",'Raw Log'!$D$5:$D$1538,"Pee")+COUNTIFS('Raw Log'!$F$5:$F$1538,A52,'Raw Log'!$B$5:$B$1538,"Diaper",'Raw Log'!$D$5:$D$1538,"Both"))</f>
        <v>4</v>
      </c>
      <c r="I52" s="19" t="n">
        <f aca="false">IF(K52=J52,"",COUNTIFS('Raw Log'!$F$5:$F$1538,A52,'Raw Log'!$B$5:$B$1538,"Diaper",'Raw Log'!$D$5:$D$1538,"Poop")+COUNTIFS('Raw Log'!$F$5:$F$1538,A52,'Raw Log'!$B$5:$B$1538,"Diaper",'Raw Log'!$D$5:$D$1538,"Both"))</f>
        <v>3</v>
      </c>
      <c r="J52" s="19" t="n">
        <f aca="false">COUNTIFS('Raw Log'!$F$5:$F$1538,A52,'Raw Log'!$B$5:$B$1538,"Diaper")</f>
        <v>5</v>
      </c>
      <c r="K52" s="19" t="n">
        <f aca="false">J52-COUNTIFS('Raw Log'!$F$5:$F$1538,A52,'Raw Log'!$B$5:$B$1538,"Diaper",'Raw Log'!$D$5:$D$1538,"Pee")-COUNTIFS('Raw Log'!$F$5:$F$1538,A52,'Raw Log'!$B$5:$B$1538,"Diaper",'Raw Log'!$D$5:$D$1538,"Poop")-COUNTIFS('Raw Log'!$F$5:$F$1538,A52,'Raw Log'!$B$5:$B$1538,"Diaper",'Raw Log'!$D$5:$D$1538,"Both")</f>
        <v>0</v>
      </c>
      <c r="L52" s="19" t="n">
        <f aca="false">COUNTIFS('Sleep Detail'!$A$5:$A$285,A52,'Sleep Detail'!$B$5:$B$285,"Nap")</f>
        <v>4</v>
      </c>
      <c r="M52" s="11" t="n">
        <f aca="false">SUMIFS('Sleep Detail'!$E$5:$E$285,'Sleep Detail'!$A$5:$A$285,A52,'Sleep Detail'!$B$5:$B$285,"Nap")</f>
        <v>2.86666666666667</v>
      </c>
      <c r="N52" s="18" t="n">
        <f aca="false">IF(COUNTIFS('Sleep Detail'!$A$5:$A$285,A52,'Sleep Detail'!$B$5:$B$285,"Night")=0,"",_xlfn.MINIFS('Sleep Detail'!$C$5:$C$285,'Sleep Detail'!$A$5:$A$285,A52,'Sleep Detail'!$B$5:$B$285,"Night"))</f>
        <v>46296.0756944444</v>
      </c>
      <c r="O52" s="18" t="n">
        <f aca="false">IF(COUNTIFS('Sleep Detail'!$A$5:$A$285,A52,'Sleep Detail'!$B$5:$B$285,"Night")=0,"",_xlfn.MAXIFS('Sleep Detail'!$D$5:$D$285,'Sleep Detail'!$A$5:$A$285,A52,'Sleep Detail'!$B$5:$B$285,"Night"))</f>
        <v>46296.3375</v>
      </c>
      <c r="P52" s="11" t="n">
        <f aca="false">IF(COUNTIFS('Sleep Detail'!$A$5:$A$285,A52,'Sleep Detail'!$B$5:$B$285,"Night")=0,"",SUMIFS('Sleep Detail'!$E$5:$E$285,'Sleep Detail'!$A$5:$A$285,A52,'Sleep Detail'!$B$5:$B$285,"Night"))</f>
        <v>6.28333333333333</v>
      </c>
      <c r="Q52" s="11" t="n">
        <f aca="false">IF(P52="","",M52+P52)</f>
        <v>9.15</v>
      </c>
      <c r="R52" s="19" t="n">
        <f aca="false">COUNTIFS('Raw Log'!$F$5:$F$1538,A52,'Raw Log'!$B$5:$B$1538,"Medicine")</f>
        <v>3</v>
      </c>
      <c r="S52" s="11" t="n">
        <f aca="false">IF(N52="","",MOD(N52-0.5,1)*24)</f>
        <v>13.8166666666511</v>
      </c>
      <c r="T52" s="18" t="n">
        <f aca="false">IF(O52="","",MOD(O52,1))</f>
        <v>0.337500000001455</v>
      </c>
    </row>
    <row r="53" customFormat="false" ht="15" hidden="false" customHeight="false" outlineLevel="0" collapsed="false">
      <c r="A53" s="26" t="n">
        <v>46296</v>
      </c>
      <c r="B53" s="27" t="n">
        <f aca="false">A53-WEEKDAY(A53,3)</f>
        <v>46293</v>
      </c>
      <c r="C53" s="19" t="s">
        <v>40</v>
      </c>
      <c r="D53" s="19" t="n">
        <f aca="false">COUNTIFS('Raw Log'!$F$5:$F$1538,A53,'Raw Log'!$B$5:$B$1538,"Feed")</f>
        <v>6</v>
      </c>
      <c r="E53" s="19" t="n">
        <f aca="false">COUNTIFS('Raw Log'!$F$5:$F$1538,A53,'Raw Log'!$B$5:$B$1538,"Feed",'Raw Log'!$C$5:$C$1538,"&gt;0")</f>
        <v>6</v>
      </c>
      <c r="F53" s="19" t="n">
        <f aca="false">IF(E53=0,"",SUMIFS('Raw Log'!$C$5:$C$1538,'Raw Log'!$F$5:$F$1538,A53,'Raw Log'!$B$5:$B$1538,"Feed"))</f>
        <v>26</v>
      </c>
      <c r="G53" s="11" t="n">
        <f aca="false">IF(E53=0,"",F53/E53)</f>
        <v>4.33333333333333</v>
      </c>
      <c r="H53" s="19" t="n">
        <f aca="false">IF(K53=J53,"",COUNTIFS('Raw Log'!$F$5:$F$1538,A53,'Raw Log'!$B$5:$B$1538,"Diaper",'Raw Log'!$D$5:$D$1538,"Pee")+COUNTIFS('Raw Log'!$F$5:$F$1538,A53,'Raw Log'!$B$5:$B$1538,"Diaper",'Raw Log'!$D$5:$D$1538,"Both"))</f>
        <v>3</v>
      </c>
      <c r="I53" s="19" t="n">
        <f aca="false">IF(K53=J53,"",COUNTIFS('Raw Log'!$F$5:$F$1538,A53,'Raw Log'!$B$5:$B$1538,"Diaper",'Raw Log'!$D$5:$D$1538,"Poop")+COUNTIFS('Raw Log'!$F$5:$F$1538,A53,'Raw Log'!$B$5:$B$1538,"Diaper",'Raw Log'!$D$5:$D$1538,"Both"))</f>
        <v>1</v>
      </c>
      <c r="J53" s="19" t="n">
        <f aca="false">COUNTIFS('Raw Log'!$F$5:$F$1538,A53,'Raw Log'!$B$5:$B$1538,"Diaper")</f>
        <v>4</v>
      </c>
      <c r="K53" s="19" t="n">
        <f aca="false">J53-COUNTIFS('Raw Log'!$F$5:$F$1538,A53,'Raw Log'!$B$5:$B$1538,"Diaper",'Raw Log'!$D$5:$D$1538,"Pee")-COUNTIFS('Raw Log'!$F$5:$F$1538,A53,'Raw Log'!$B$5:$B$1538,"Diaper",'Raw Log'!$D$5:$D$1538,"Poop")-COUNTIFS('Raw Log'!$F$5:$F$1538,A53,'Raw Log'!$B$5:$B$1538,"Diaper",'Raw Log'!$D$5:$D$1538,"Both")</f>
        <v>0</v>
      </c>
      <c r="L53" s="19" t="n">
        <f aca="false">COUNTIFS('Sleep Detail'!$A$5:$A$285,A53,'Sleep Detail'!$B$5:$B$285,"Nap")</f>
        <v>4</v>
      </c>
      <c r="M53" s="11" t="n">
        <f aca="false">SUMIFS('Sleep Detail'!$E$5:$E$285,'Sleep Detail'!$A$5:$A$285,A53,'Sleep Detail'!$B$5:$B$285,"Nap")</f>
        <v>2.05000000031028</v>
      </c>
      <c r="N53" s="18" t="n">
        <f aca="false">IF(COUNTIFS('Sleep Detail'!$A$5:$A$285,A53,'Sleep Detail'!$B$5:$B$285,"Night")=0,"",_xlfn.MINIFS('Sleep Detail'!$C$5:$C$285,'Sleep Detail'!$A$5:$A$285,A53,'Sleep Detail'!$B$5:$B$285,"Night"))</f>
        <v>46297.03125</v>
      </c>
      <c r="O53" s="18" t="n">
        <f aca="false">IF(COUNTIFS('Sleep Detail'!$A$5:$A$285,A53,'Sleep Detail'!$B$5:$B$285,"Night")=0,"",_xlfn.MAXIFS('Sleep Detail'!$D$5:$D$285,'Sleep Detail'!$A$5:$A$285,A53,'Sleep Detail'!$B$5:$B$285,"Night"))</f>
        <v>46297.3090277778</v>
      </c>
      <c r="P53" s="11" t="n">
        <f aca="false">IF(COUNTIFS('Sleep Detail'!$A$5:$A$285,A53,'Sleep Detail'!$B$5:$B$285,"Night")=0,"",SUMIFS('Sleep Detail'!$E$5:$E$285,'Sleep Detail'!$A$5:$A$285,A53,'Sleep Detail'!$B$5:$B$285,"Night"))</f>
        <v>6.66666666666667</v>
      </c>
      <c r="Q53" s="11" t="n">
        <f aca="false">IF(P53="","",M53+P53)</f>
        <v>8.71666666697695</v>
      </c>
      <c r="R53" s="19" t="n">
        <f aca="false">COUNTIFS('Raw Log'!$F$5:$F$1538,A53,'Raw Log'!$B$5:$B$1538,"Medicine")</f>
        <v>3</v>
      </c>
      <c r="S53" s="11" t="n">
        <f aca="false">IF(N53="","",MOD(N53-0.5,1)*24)</f>
        <v>12.75</v>
      </c>
      <c r="T53" s="18" t="n">
        <f aca="false">IF(O53="","",MOD(O53,1))</f>
        <v>0.309027777781012</v>
      </c>
    </row>
    <row r="54" customFormat="false" ht="15" hidden="false" customHeight="false" outlineLevel="0" collapsed="false">
      <c r="A54" s="26" t="n">
        <v>46297</v>
      </c>
      <c r="B54" s="27" t="n">
        <f aca="false">A54-WEEKDAY(A54,3)</f>
        <v>46293</v>
      </c>
      <c r="C54" s="19" t="s">
        <v>40</v>
      </c>
      <c r="D54" s="19" t="n">
        <f aca="false">COUNTIFS('Raw Log'!$F$5:$F$1538,A54,'Raw Log'!$B$5:$B$1538,"Feed")</f>
        <v>6</v>
      </c>
      <c r="E54" s="19" t="n">
        <f aca="false">COUNTIFS('Raw Log'!$F$5:$F$1538,A54,'Raw Log'!$B$5:$B$1538,"Feed",'Raw Log'!$C$5:$C$1538,"&gt;0")</f>
        <v>6</v>
      </c>
      <c r="F54" s="19" t="n">
        <f aca="false">IF(E54=0,"",SUMIFS('Raw Log'!$C$5:$C$1538,'Raw Log'!$F$5:$F$1538,A54,'Raw Log'!$B$5:$B$1538,"Feed"))</f>
        <v>31</v>
      </c>
      <c r="G54" s="11" t="n">
        <f aca="false">IF(E54=0,"",F54/E54)</f>
        <v>5.16666666666667</v>
      </c>
      <c r="H54" s="19" t="n">
        <f aca="false">IF(K54=J54,"",COUNTIFS('Raw Log'!$F$5:$F$1538,A54,'Raw Log'!$B$5:$B$1538,"Diaper",'Raw Log'!$D$5:$D$1538,"Pee")+COUNTIFS('Raw Log'!$F$5:$F$1538,A54,'Raw Log'!$B$5:$B$1538,"Diaper",'Raw Log'!$D$5:$D$1538,"Both"))</f>
        <v>6</v>
      </c>
      <c r="I54" s="19" t="n">
        <f aca="false">IF(K54=J54,"",COUNTIFS('Raw Log'!$F$5:$F$1538,A54,'Raw Log'!$B$5:$B$1538,"Diaper",'Raw Log'!$D$5:$D$1538,"Poop")+COUNTIFS('Raw Log'!$F$5:$F$1538,A54,'Raw Log'!$B$5:$B$1538,"Diaper",'Raw Log'!$D$5:$D$1538,"Both"))</f>
        <v>1</v>
      </c>
      <c r="J54" s="19" t="n">
        <f aca="false">COUNTIFS('Raw Log'!$F$5:$F$1538,A54,'Raw Log'!$B$5:$B$1538,"Diaper")</f>
        <v>7</v>
      </c>
      <c r="K54" s="19" t="n">
        <f aca="false">J54-COUNTIFS('Raw Log'!$F$5:$F$1538,A54,'Raw Log'!$B$5:$B$1538,"Diaper",'Raw Log'!$D$5:$D$1538,"Pee")-COUNTIFS('Raw Log'!$F$5:$F$1538,A54,'Raw Log'!$B$5:$B$1538,"Diaper",'Raw Log'!$D$5:$D$1538,"Poop")-COUNTIFS('Raw Log'!$F$5:$F$1538,A54,'Raw Log'!$B$5:$B$1538,"Diaper",'Raw Log'!$D$5:$D$1538,"Both")</f>
        <v>0</v>
      </c>
      <c r="L54" s="19" t="n">
        <f aca="false">COUNTIFS('Sleep Detail'!$A$5:$A$285,A54,'Sleep Detail'!$B$5:$B$285,"Nap")</f>
        <v>3</v>
      </c>
      <c r="M54" s="11" t="n">
        <f aca="false">SUMIFS('Sleep Detail'!$E$5:$E$285,'Sleep Detail'!$A$5:$A$285,A54,'Sleep Detail'!$B$5:$B$285,"Nap")</f>
        <v>2.15</v>
      </c>
      <c r="N54" s="18" t="n">
        <f aca="false">IF(COUNTIFS('Sleep Detail'!$A$5:$A$285,A54,'Sleep Detail'!$B$5:$B$285,"Night")=0,"",_xlfn.MINIFS('Sleep Detail'!$C$5:$C$285,'Sleep Detail'!$A$5:$A$285,A54,'Sleep Detail'!$B$5:$B$285,"Night"))</f>
        <v>46298.0236111111</v>
      </c>
      <c r="O54" s="18" t="n">
        <f aca="false">IF(COUNTIFS('Sleep Detail'!$A$5:$A$285,A54,'Sleep Detail'!$B$5:$B$285,"Night")=0,"",_xlfn.MAXIFS('Sleep Detail'!$D$5:$D$285,'Sleep Detail'!$A$5:$A$285,A54,'Sleep Detail'!$B$5:$B$285,"Night"))</f>
        <v>46298.375</v>
      </c>
      <c r="P54" s="11" t="n">
        <f aca="false">IF(COUNTIFS('Sleep Detail'!$A$5:$A$285,A54,'Sleep Detail'!$B$5:$B$285,"Night")=0,"",SUMIFS('Sleep Detail'!$E$5:$E$285,'Sleep Detail'!$A$5:$A$285,A54,'Sleep Detail'!$B$5:$B$285,"Night"))</f>
        <v>8.43333333333333</v>
      </c>
      <c r="Q54" s="11" t="n">
        <f aca="false">IF(P54="","",M54+P54)</f>
        <v>10.5833333333333</v>
      </c>
      <c r="R54" s="19" t="n">
        <f aca="false">COUNTIFS('Raw Log'!$F$5:$F$1538,A54,'Raw Log'!$B$5:$B$1538,"Medicine")</f>
        <v>2</v>
      </c>
      <c r="S54" s="11" t="n">
        <f aca="false">IF(N54="","",MOD(N54-0.5,1)*24)</f>
        <v>12.5666666665929</v>
      </c>
      <c r="T54" s="18" t="n">
        <f aca="false">IF(O54="","",MOD(O54,1))</f>
        <v>0.375</v>
      </c>
    </row>
    <row r="55" customFormat="false" ht="15" hidden="false" customHeight="false" outlineLevel="0" collapsed="false">
      <c r="A55" s="26" t="n">
        <v>46298</v>
      </c>
      <c r="B55" s="27" t="n">
        <f aca="false">A55-WEEKDAY(A55,3)</f>
        <v>46293</v>
      </c>
      <c r="C55" s="19" t="s">
        <v>40</v>
      </c>
      <c r="D55" s="19" t="n">
        <f aca="false">COUNTIFS('Raw Log'!$F$5:$F$1538,A55,'Raw Log'!$B$5:$B$1538,"Feed")</f>
        <v>6</v>
      </c>
      <c r="E55" s="19" t="n">
        <f aca="false">COUNTIFS('Raw Log'!$F$5:$F$1538,A55,'Raw Log'!$B$5:$B$1538,"Feed",'Raw Log'!$C$5:$C$1538,"&gt;0")</f>
        <v>6</v>
      </c>
      <c r="F55" s="19" t="n">
        <f aca="false">IF(E55=0,"",SUMIFS('Raw Log'!$C$5:$C$1538,'Raw Log'!$F$5:$F$1538,A55,'Raw Log'!$B$5:$B$1538,"Feed"))</f>
        <v>31</v>
      </c>
      <c r="G55" s="11" t="n">
        <f aca="false">IF(E55=0,"",F55/E55)</f>
        <v>5.16666666666667</v>
      </c>
      <c r="H55" s="19" t="n">
        <f aca="false">IF(K55=J55,"",COUNTIFS('Raw Log'!$F$5:$F$1538,A55,'Raw Log'!$B$5:$B$1538,"Diaper",'Raw Log'!$D$5:$D$1538,"Pee")+COUNTIFS('Raw Log'!$F$5:$F$1538,A55,'Raw Log'!$B$5:$B$1538,"Diaper",'Raw Log'!$D$5:$D$1538,"Both"))</f>
        <v>4</v>
      </c>
      <c r="I55" s="19" t="n">
        <f aca="false">IF(K55=J55,"",COUNTIFS('Raw Log'!$F$5:$F$1538,A55,'Raw Log'!$B$5:$B$1538,"Diaper",'Raw Log'!$D$5:$D$1538,"Poop")+COUNTIFS('Raw Log'!$F$5:$F$1538,A55,'Raw Log'!$B$5:$B$1538,"Diaper",'Raw Log'!$D$5:$D$1538,"Both"))</f>
        <v>2</v>
      </c>
      <c r="J55" s="19" t="n">
        <f aca="false">COUNTIFS('Raw Log'!$F$5:$F$1538,A55,'Raw Log'!$B$5:$B$1538,"Diaper")</f>
        <v>6</v>
      </c>
      <c r="K55" s="19" t="n">
        <f aca="false">J55-COUNTIFS('Raw Log'!$F$5:$F$1538,A55,'Raw Log'!$B$5:$B$1538,"Diaper",'Raw Log'!$D$5:$D$1538,"Pee")-COUNTIFS('Raw Log'!$F$5:$F$1538,A55,'Raw Log'!$B$5:$B$1538,"Diaper",'Raw Log'!$D$5:$D$1538,"Poop")-COUNTIFS('Raw Log'!$F$5:$F$1538,A55,'Raw Log'!$B$5:$B$1538,"Diaper",'Raw Log'!$D$5:$D$1538,"Both")</f>
        <v>0</v>
      </c>
      <c r="L55" s="19" t="n">
        <f aca="false">COUNTIFS('Sleep Detail'!$A$5:$A$285,A55,'Sleep Detail'!$B$5:$B$285,"Nap")</f>
        <v>3</v>
      </c>
      <c r="M55" s="11" t="n">
        <f aca="false">SUMIFS('Sleep Detail'!$E$5:$E$285,'Sleep Detail'!$A$5:$A$285,A55,'Sleep Detail'!$B$5:$B$285,"Nap")</f>
        <v>1.54999999953417</v>
      </c>
      <c r="N55" s="18" t="n">
        <f aca="false">IF(COUNTIFS('Sleep Detail'!$A$5:$A$285,A55,'Sleep Detail'!$B$5:$B$285,"Night")=0,"",_xlfn.MINIFS('Sleep Detail'!$C$5:$C$285,'Sleep Detail'!$A$5:$A$285,A55,'Sleep Detail'!$B$5:$B$285,"Night"))</f>
        <v>46299.0569444444</v>
      </c>
      <c r="O55" s="18" t="n">
        <f aca="false">IF(COUNTIFS('Sleep Detail'!$A$5:$A$285,A55,'Sleep Detail'!$B$5:$B$285,"Night")=0,"",_xlfn.MAXIFS('Sleep Detail'!$D$5:$D$285,'Sleep Detail'!$A$5:$A$285,A55,'Sleep Detail'!$B$5:$B$285,"Night"))</f>
        <v>46299.4409722222</v>
      </c>
      <c r="P55" s="11" t="n">
        <f aca="false">IF(COUNTIFS('Sleep Detail'!$A$5:$A$285,A55,'Sleep Detail'!$B$5:$B$285,"Night")=0,"",SUMIFS('Sleep Detail'!$E$5:$E$285,'Sleep Detail'!$A$5:$A$285,A55,'Sleep Detail'!$B$5:$B$285,"Night"))</f>
        <v>9.21666666666667</v>
      </c>
      <c r="Q55" s="11" t="n">
        <f aca="false">IF(P55="","",M55+P55)</f>
        <v>10.7666666662008</v>
      </c>
      <c r="R55" s="19" t="n">
        <f aca="false">COUNTIFS('Raw Log'!$F$5:$F$1538,A55,'Raw Log'!$B$5:$B$1538,"Medicine")</f>
        <v>3</v>
      </c>
      <c r="S55" s="11" t="n">
        <f aca="false">IF(N55="","",MOD(N55-0.5,1)*24)</f>
        <v>13.3666666665813</v>
      </c>
      <c r="T55" s="18" t="n">
        <f aca="false">IF(O55="","",MOD(O55,1))</f>
        <v>0.440972222218988</v>
      </c>
    </row>
    <row r="56" customFormat="false" ht="15" hidden="false" customHeight="false" outlineLevel="0" collapsed="false">
      <c r="A56" s="26" t="n">
        <v>46299</v>
      </c>
      <c r="B56" s="27" t="n">
        <f aca="false">A56-WEEKDAY(A56,3)</f>
        <v>46293</v>
      </c>
      <c r="C56" s="19" t="s">
        <v>40</v>
      </c>
      <c r="D56" s="19" t="n">
        <f aca="false">COUNTIFS('Raw Log'!$F$5:$F$1538,A56,'Raw Log'!$B$5:$B$1538,"Feed")</f>
        <v>5</v>
      </c>
      <c r="E56" s="19" t="n">
        <f aca="false">COUNTIFS('Raw Log'!$F$5:$F$1538,A56,'Raw Log'!$B$5:$B$1538,"Feed",'Raw Log'!$C$5:$C$1538,"&gt;0")</f>
        <v>5</v>
      </c>
      <c r="F56" s="19" t="n">
        <f aca="false">IF(E56=0,"",SUMIFS('Raw Log'!$C$5:$C$1538,'Raw Log'!$F$5:$F$1538,A56,'Raw Log'!$B$5:$B$1538,"Feed"))</f>
        <v>26</v>
      </c>
      <c r="G56" s="11" t="n">
        <f aca="false">IF(E56=0,"",F56/E56)</f>
        <v>5.2</v>
      </c>
      <c r="H56" s="19" t="n">
        <f aca="false">IF(K56=J56,"",COUNTIFS('Raw Log'!$F$5:$F$1538,A56,'Raw Log'!$B$5:$B$1538,"Diaper",'Raw Log'!$D$5:$D$1538,"Pee")+COUNTIFS('Raw Log'!$F$5:$F$1538,A56,'Raw Log'!$B$5:$B$1538,"Diaper",'Raw Log'!$D$5:$D$1538,"Both"))</f>
        <v>5</v>
      </c>
      <c r="I56" s="19" t="n">
        <f aca="false">IF(K56=J56,"",COUNTIFS('Raw Log'!$F$5:$F$1538,A56,'Raw Log'!$B$5:$B$1538,"Diaper",'Raw Log'!$D$5:$D$1538,"Poop")+COUNTIFS('Raw Log'!$F$5:$F$1538,A56,'Raw Log'!$B$5:$B$1538,"Diaper",'Raw Log'!$D$5:$D$1538,"Both"))</f>
        <v>0</v>
      </c>
      <c r="J56" s="19" t="n">
        <f aca="false">COUNTIFS('Raw Log'!$F$5:$F$1538,A56,'Raw Log'!$B$5:$B$1538,"Diaper")</f>
        <v>5</v>
      </c>
      <c r="K56" s="19" t="n">
        <f aca="false">J56-COUNTIFS('Raw Log'!$F$5:$F$1538,A56,'Raw Log'!$B$5:$B$1538,"Diaper",'Raw Log'!$D$5:$D$1538,"Pee")-COUNTIFS('Raw Log'!$F$5:$F$1538,A56,'Raw Log'!$B$5:$B$1538,"Diaper",'Raw Log'!$D$5:$D$1538,"Poop")-COUNTIFS('Raw Log'!$F$5:$F$1538,A56,'Raw Log'!$B$5:$B$1538,"Diaper",'Raw Log'!$D$5:$D$1538,"Both")</f>
        <v>0</v>
      </c>
      <c r="L56" s="19" t="n">
        <f aca="false">COUNTIFS('Sleep Detail'!$A$5:$A$285,A56,'Sleep Detail'!$B$5:$B$285,"Nap")</f>
        <v>4</v>
      </c>
      <c r="M56" s="11" t="n">
        <f aca="false">SUMIFS('Sleep Detail'!$E$5:$E$285,'Sleep Detail'!$A$5:$A$285,A56,'Sleep Detail'!$B$5:$B$285,"Nap")</f>
        <v>3.13333333333333</v>
      </c>
      <c r="N56" s="18" t="n">
        <f aca="false">IF(COUNTIFS('Sleep Detail'!$A$5:$A$285,A56,'Sleep Detail'!$B$5:$B$285,"Night")=0,"",_xlfn.MINIFS('Sleep Detail'!$C$5:$C$285,'Sleep Detail'!$A$5:$A$285,A56,'Sleep Detail'!$B$5:$B$285,"Night"))</f>
        <v>46300.0347222222</v>
      </c>
      <c r="O56" s="18" t="n">
        <f aca="false">IF(COUNTIFS('Sleep Detail'!$A$5:$A$285,A56,'Sleep Detail'!$B$5:$B$285,"Night")=0,"",_xlfn.MAXIFS('Sleep Detail'!$D$5:$D$285,'Sleep Detail'!$A$5:$A$285,A56,'Sleep Detail'!$B$5:$B$285,"Night"))</f>
        <v>46300.3173611111</v>
      </c>
      <c r="P56" s="11" t="n">
        <f aca="false">IF(COUNTIFS('Sleep Detail'!$A$5:$A$285,A56,'Sleep Detail'!$B$5:$B$285,"Night")=0,"",SUMIFS('Sleep Detail'!$E$5:$E$285,'Sleep Detail'!$A$5:$A$285,A56,'Sleep Detail'!$B$5:$B$285,"Night"))</f>
        <v>6.78333333333333</v>
      </c>
      <c r="Q56" s="11" t="n">
        <f aca="false">IF(P56="","",M56+P56)</f>
        <v>9.91666666666667</v>
      </c>
      <c r="R56" s="19" t="n">
        <f aca="false">COUNTIFS('Raw Log'!$F$5:$F$1538,A56,'Raw Log'!$B$5:$B$1538,"Medicine")</f>
        <v>3</v>
      </c>
      <c r="S56" s="11" t="n">
        <f aca="false">IF(N56="","",MOD(N56-0.5,1)*24)</f>
        <v>12.8333333332557</v>
      </c>
      <c r="T56" s="18" t="n">
        <f aca="false">IF(O56="","",MOD(O56,1))</f>
        <v>0.317361111112405</v>
      </c>
    </row>
    <row r="57" customFormat="false" ht="15" hidden="false" customHeight="false" outlineLevel="0" collapsed="false">
      <c r="A57" s="26" t="n">
        <v>46300</v>
      </c>
      <c r="B57" s="27" t="n">
        <f aca="false">A57-WEEKDAY(A57,3)</f>
        <v>46300</v>
      </c>
      <c r="C57" s="19" t="s">
        <v>40</v>
      </c>
      <c r="D57" s="19" t="n">
        <f aca="false">COUNTIFS('Raw Log'!$F$5:$F$1538,A57,'Raw Log'!$B$5:$B$1538,"Feed")</f>
        <v>6</v>
      </c>
      <c r="E57" s="19" t="n">
        <f aca="false">COUNTIFS('Raw Log'!$F$5:$F$1538,A57,'Raw Log'!$B$5:$B$1538,"Feed",'Raw Log'!$C$5:$C$1538,"&gt;0")</f>
        <v>6</v>
      </c>
      <c r="F57" s="19" t="n">
        <f aca="false">IF(E57=0,"",SUMIFS('Raw Log'!$C$5:$C$1538,'Raw Log'!$F$5:$F$1538,A57,'Raw Log'!$B$5:$B$1538,"Feed"))</f>
        <v>31</v>
      </c>
      <c r="G57" s="11" t="n">
        <f aca="false">IF(E57=0,"",F57/E57)</f>
        <v>5.16666666666667</v>
      </c>
      <c r="H57" s="19" t="n">
        <f aca="false">IF(K57=J57,"",COUNTIFS('Raw Log'!$F$5:$F$1538,A57,'Raw Log'!$B$5:$B$1538,"Diaper",'Raw Log'!$D$5:$D$1538,"Pee")+COUNTIFS('Raw Log'!$F$5:$F$1538,A57,'Raw Log'!$B$5:$B$1538,"Diaper",'Raw Log'!$D$5:$D$1538,"Both"))</f>
        <v>4</v>
      </c>
      <c r="I57" s="19" t="n">
        <f aca="false">IF(K57=J57,"",COUNTIFS('Raw Log'!$F$5:$F$1538,A57,'Raw Log'!$B$5:$B$1538,"Diaper",'Raw Log'!$D$5:$D$1538,"Poop")+COUNTIFS('Raw Log'!$F$5:$F$1538,A57,'Raw Log'!$B$5:$B$1538,"Diaper",'Raw Log'!$D$5:$D$1538,"Both"))</f>
        <v>1</v>
      </c>
      <c r="J57" s="19" t="n">
        <f aca="false">COUNTIFS('Raw Log'!$F$5:$F$1538,A57,'Raw Log'!$B$5:$B$1538,"Diaper")</f>
        <v>5</v>
      </c>
      <c r="K57" s="19" t="n">
        <f aca="false">J57-COUNTIFS('Raw Log'!$F$5:$F$1538,A57,'Raw Log'!$B$5:$B$1538,"Diaper",'Raw Log'!$D$5:$D$1538,"Pee")-COUNTIFS('Raw Log'!$F$5:$F$1538,A57,'Raw Log'!$B$5:$B$1538,"Diaper",'Raw Log'!$D$5:$D$1538,"Poop")-COUNTIFS('Raw Log'!$F$5:$F$1538,A57,'Raw Log'!$B$5:$B$1538,"Diaper",'Raw Log'!$D$5:$D$1538,"Both")</f>
        <v>0</v>
      </c>
      <c r="L57" s="19" t="n">
        <f aca="false">COUNTIFS('Sleep Detail'!$A$5:$A$285,A57,'Sleep Detail'!$B$5:$B$285,"Nap")</f>
        <v>6</v>
      </c>
      <c r="M57" s="11" t="n">
        <f aca="false">SUMIFS('Sleep Detail'!$E$5:$E$285,'Sleep Detail'!$A$5:$A$285,A57,'Sleep Detail'!$B$5:$B$285,"Nap")</f>
        <v>3.11666666666667</v>
      </c>
      <c r="N57" s="18" t="n">
        <f aca="false">IF(COUNTIFS('Sleep Detail'!$A$5:$A$285,A57,'Sleep Detail'!$B$5:$B$285,"Night")=0,"",_xlfn.MINIFS('Sleep Detail'!$C$5:$C$285,'Sleep Detail'!$A$5:$A$285,A57,'Sleep Detail'!$B$5:$B$285,"Night"))</f>
        <v>46301.0319444445</v>
      </c>
      <c r="O57" s="18" t="n">
        <f aca="false">IF(COUNTIFS('Sleep Detail'!$A$5:$A$285,A57,'Sleep Detail'!$B$5:$B$285,"Night")=0,"",_xlfn.MAXIFS('Sleep Detail'!$D$5:$D$285,'Sleep Detail'!$A$5:$A$285,A57,'Sleep Detail'!$B$5:$B$285,"Night"))</f>
        <v>46301.3576388889</v>
      </c>
      <c r="P57" s="11" t="n">
        <f aca="false">IF(COUNTIFS('Sleep Detail'!$A$5:$A$285,A57,'Sleep Detail'!$B$5:$B$285,"Night")=0,"",SUMIFS('Sleep Detail'!$E$5:$E$285,'Sleep Detail'!$A$5:$A$285,A57,'Sleep Detail'!$B$5:$B$285,"Night"))</f>
        <v>7.81666666666667</v>
      </c>
      <c r="Q57" s="11" t="n">
        <f aca="false">IF(P57="","",M57+P57)</f>
        <v>10.9333333333333</v>
      </c>
      <c r="R57" s="19" t="n">
        <f aca="false">COUNTIFS('Raw Log'!$F$5:$F$1538,A57,'Raw Log'!$B$5:$B$1538,"Medicine")</f>
        <v>3</v>
      </c>
      <c r="S57" s="11" t="n">
        <f aca="false">IF(N57="","",MOD(N57-0.5,1)*24)</f>
        <v>12.766666666721</v>
      </c>
      <c r="T57" s="18" t="n">
        <f aca="false">IF(O57="","",MOD(O57,1))</f>
        <v>0.357638888890506</v>
      </c>
    </row>
    <row r="58" customFormat="false" ht="15" hidden="false" customHeight="false" outlineLevel="0" collapsed="false">
      <c r="A58" s="26" t="n">
        <v>46301</v>
      </c>
      <c r="B58" s="27" t="n">
        <f aca="false">A58-WEEKDAY(A58,3)</f>
        <v>46300</v>
      </c>
      <c r="C58" s="19" t="s">
        <v>40</v>
      </c>
      <c r="D58" s="19" t="n">
        <f aca="false">COUNTIFS('Raw Log'!$F$5:$F$1538,A58,'Raw Log'!$B$5:$B$1538,"Feed")</f>
        <v>6</v>
      </c>
      <c r="E58" s="19" t="n">
        <f aca="false">COUNTIFS('Raw Log'!$F$5:$F$1538,A58,'Raw Log'!$B$5:$B$1538,"Feed",'Raw Log'!$C$5:$C$1538,"&gt;0")</f>
        <v>6</v>
      </c>
      <c r="F58" s="19" t="n">
        <f aca="false">IF(E58=0,"",SUMIFS('Raw Log'!$C$5:$C$1538,'Raw Log'!$F$5:$F$1538,A58,'Raw Log'!$B$5:$B$1538,"Feed"))</f>
        <v>31</v>
      </c>
      <c r="G58" s="11" t="n">
        <f aca="false">IF(E58=0,"",F58/E58)</f>
        <v>5.16666666666667</v>
      </c>
      <c r="H58" s="19" t="n">
        <f aca="false">IF(K58=J58,"",COUNTIFS('Raw Log'!$F$5:$F$1538,A58,'Raw Log'!$B$5:$B$1538,"Diaper",'Raw Log'!$D$5:$D$1538,"Pee")+COUNTIFS('Raw Log'!$F$5:$F$1538,A58,'Raw Log'!$B$5:$B$1538,"Diaper",'Raw Log'!$D$5:$D$1538,"Both"))</f>
        <v>4</v>
      </c>
      <c r="I58" s="19" t="n">
        <f aca="false">IF(K58=J58,"",COUNTIFS('Raw Log'!$F$5:$F$1538,A58,'Raw Log'!$B$5:$B$1538,"Diaper",'Raw Log'!$D$5:$D$1538,"Poop")+COUNTIFS('Raw Log'!$F$5:$F$1538,A58,'Raw Log'!$B$5:$B$1538,"Diaper",'Raw Log'!$D$5:$D$1538,"Both"))</f>
        <v>1</v>
      </c>
      <c r="J58" s="19" t="n">
        <f aca="false">COUNTIFS('Raw Log'!$F$5:$F$1538,A58,'Raw Log'!$B$5:$B$1538,"Diaper")</f>
        <v>5</v>
      </c>
      <c r="K58" s="19" t="n">
        <f aca="false">J58-COUNTIFS('Raw Log'!$F$5:$F$1538,A58,'Raw Log'!$B$5:$B$1538,"Diaper",'Raw Log'!$D$5:$D$1538,"Pee")-COUNTIFS('Raw Log'!$F$5:$F$1538,A58,'Raw Log'!$B$5:$B$1538,"Diaper",'Raw Log'!$D$5:$D$1538,"Poop")-COUNTIFS('Raw Log'!$F$5:$F$1538,A58,'Raw Log'!$B$5:$B$1538,"Diaper",'Raw Log'!$D$5:$D$1538,"Both")</f>
        <v>0</v>
      </c>
      <c r="L58" s="19" t="n">
        <f aca="false">COUNTIFS('Sleep Detail'!$A$5:$A$285,A58,'Sleep Detail'!$B$5:$B$285,"Nap")</f>
        <v>4</v>
      </c>
      <c r="M58" s="11" t="n">
        <f aca="false">SUMIFS('Sleep Detail'!$E$5:$E$285,'Sleep Detail'!$A$5:$A$285,A58,'Sleep Detail'!$B$5:$B$285,"Nap")</f>
        <v>4.1</v>
      </c>
      <c r="N58" s="18" t="n">
        <f aca="false">IF(COUNTIFS('Sleep Detail'!$A$5:$A$285,A58,'Sleep Detail'!$B$5:$B$285,"Night")=0,"",_xlfn.MINIFS('Sleep Detail'!$C$5:$C$285,'Sleep Detail'!$A$5:$A$285,A58,'Sleep Detail'!$B$5:$B$285,"Night"))</f>
        <v>46302.0486111111</v>
      </c>
      <c r="O58" s="18" t="n">
        <f aca="false">IF(COUNTIFS('Sleep Detail'!$A$5:$A$285,A58,'Sleep Detail'!$B$5:$B$285,"Night")=0,"",_xlfn.MAXIFS('Sleep Detail'!$D$5:$D$285,'Sleep Detail'!$A$5:$A$285,A58,'Sleep Detail'!$B$5:$B$285,"Night"))</f>
        <v>46302.3263888889</v>
      </c>
      <c r="P58" s="11" t="n">
        <f aca="false">IF(COUNTIFS('Sleep Detail'!$A$5:$A$285,A58,'Sleep Detail'!$B$5:$B$285,"Night")=0,"",SUMIFS('Sleep Detail'!$E$5:$E$285,'Sleep Detail'!$A$5:$A$285,A58,'Sleep Detail'!$B$5:$B$285,"Night"))</f>
        <v>6.66666666666667</v>
      </c>
      <c r="Q58" s="11" t="n">
        <f aca="false">IF(P58="","",M58+P58)</f>
        <v>10.7666666666667</v>
      </c>
      <c r="R58" s="19" t="n">
        <f aca="false">COUNTIFS('Raw Log'!$F$5:$F$1538,A58,'Raw Log'!$B$5:$B$1538,"Medicine")</f>
        <v>3</v>
      </c>
      <c r="S58" s="11" t="n">
        <f aca="false">IF(N58="","",MOD(N58-0.5,1)*24)</f>
        <v>13.1666666666279</v>
      </c>
      <c r="T58" s="18" t="n">
        <f aca="false">IF(O58="","",MOD(O58,1))</f>
        <v>0.326388888890506</v>
      </c>
    </row>
    <row r="59" customFormat="false" ht="15" hidden="false" customHeight="false" outlineLevel="0" collapsed="false">
      <c r="A59" s="26" t="n">
        <v>46302</v>
      </c>
      <c r="B59" s="27" t="n">
        <f aca="false">A59-WEEKDAY(A59,3)</f>
        <v>46300</v>
      </c>
      <c r="C59" s="19" t="s">
        <v>40</v>
      </c>
      <c r="D59" s="19" t="n">
        <f aca="false">COUNTIFS('Raw Log'!$F$5:$F$1538,A59,'Raw Log'!$B$5:$B$1538,"Feed")</f>
        <v>5</v>
      </c>
      <c r="E59" s="19" t="n">
        <f aca="false">COUNTIFS('Raw Log'!$F$5:$F$1538,A59,'Raw Log'!$B$5:$B$1538,"Feed",'Raw Log'!$C$5:$C$1538,"&gt;0")</f>
        <v>5</v>
      </c>
      <c r="F59" s="19" t="n">
        <f aca="false">IF(E59=0,"",SUMIFS('Raw Log'!$C$5:$C$1538,'Raw Log'!$F$5:$F$1538,A59,'Raw Log'!$B$5:$B$1538,"Feed"))</f>
        <v>26</v>
      </c>
      <c r="G59" s="11" t="n">
        <f aca="false">IF(E59=0,"",F59/E59)</f>
        <v>5.2</v>
      </c>
      <c r="H59" s="19" t="n">
        <f aca="false">IF(K59=J59,"",COUNTIFS('Raw Log'!$F$5:$F$1538,A59,'Raw Log'!$B$5:$B$1538,"Diaper",'Raw Log'!$D$5:$D$1538,"Pee")+COUNTIFS('Raw Log'!$F$5:$F$1538,A59,'Raw Log'!$B$5:$B$1538,"Diaper",'Raw Log'!$D$5:$D$1538,"Both"))</f>
        <v>5</v>
      </c>
      <c r="I59" s="19" t="n">
        <f aca="false">IF(K59=J59,"",COUNTIFS('Raw Log'!$F$5:$F$1538,A59,'Raw Log'!$B$5:$B$1538,"Diaper",'Raw Log'!$D$5:$D$1538,"Poop")+COUNTIFS('Raw Log'!$F$5:$F$1538,A59,'Raw Log'!$B$5:$B$1538,"Diaper",'Raw Log'!$D$5:$D$1538,"Both"))</f>
        <v>1</v>
      </c>
      <c r="J59" s="19" t="n">
        <f aca="false">COUNTIFS('Raw Log'!$F$5:$F$1538,A59,'Raw Log'!$B$5:$B$1538,"Diaper")</f>
        <v>6</v>
      </c>
      <c r="K59" s="19" t="n">
        <f aca="false">J59-COUNTIFS('Raw Log'!$F$5:$F$1538,A59,'Raw Log'!$B$5:$B$1538,"Diaper",'Raw Log'!$D$5:$D$1538,"Pee")-COUNTIFS('Raw Log'!$F$5:$F$1538,A59,'Raw Log'!$B$5:$B$1538,"Diaper",'Raw Log'!$D$5:$D$1538,"Poop")-COUNTIFS('Raw Log'!$F$5:$F$1538,A59,'Raw Log'!$B$5:$B$1538,"Diaper",'Raw Log'!$D$5:$D$1538,"Both")</f>
        <v>0</v>
      </c>
      <c r="L59" s="19" t="n">
        <f aca="false">COUNTIFS('Sleep Detail'!$A$5:$A$285,A59,'Sleep Detail'!$B$5:$B$285,"Nap")</f>
        <v>3</v>
      </c>
      <c r="M59" s="11" t="n">
        <f aca="false">SUMIFS('Sleep Detail'!$E$5:$E$285,'Sleep Detail'!$A$5:$A$285,A59,'Sleep Detail'!$B$5:$B$285,"Nap")</f>
        <v>3.63333333379889</v>
      </c>
      <c r="N59" s="18" t="n">
        <f aca="false">IF(COUNTIFS('Sleep Detail'!$A$5:$A$285,A59,'Sleep Detail'!$B$5:$B$285,"Night")=0,"",_xlfn.MINIFS('Sleep Detail'!$C$5:$C$285,'Sleep Detail'!$A$5:$A$285,A59,'Sleep Detail'!$B$5:$B$285,"Night"))</f>
        <v>46303.0402777778</v>
      </c>
      <c r="O59" s="18" t="n">
        <f aca="false">IF(COUNTIFS('Sleep Detail'!$A$5:$A$285,A59,'Sleep Detail'!$B$5:$B$285,"Night")=0,"",_xlfn.MAXIFS('Sleep Detail'!$D$5:$D$285,'Sleep Detail'!$A$5:$A$285,A59,'Sleep Detail'!$B$5:$B$285,"Night"))</f>
        <v>46303.3555555556</v>
      </c>
      <c r="P59" s="11" t="n">
        <f aca="false">IF(COUNTIFS('Sleep Detail'!$A$5:$A$285,A59,'Sleep Detail'!$B$5:$B$285,"Night")=0,"",SUMIFS('Sleep Detail'!$E$5:$E$285,'Sleep Detail'!$A$5:$A$285,A59,'Sleep Detail'!$B$5:$B$285,"Night"))</f>
        <v>7.56666666666667</v>
      </c>
      <c r="Q59" s="11" t="n">
        <f aca="false">IF(P59="","",M59+P59)</f>
        <v>11.2000000004656</v>
      </c>
      <c r="R59" s="19" t="n">
        <f aca="false">COUNTIFS('Raw Log'!$F$5:$F$1538,A59,'Raw Log'!$B$5:$B$1538,"Medicine")</f>
        <v>2</v>
      </c>
      <c r="S59" s="11" t="n">
        <f aca="false">IF(N59="","",MOD(N59-0.5,1)*24)</f>
        <v>12.9666666666744</v>
      </c>
      <c r="T59" s="18" t="n">
        <f aca="false">IF(O59="","",MOD(O59,1))</f>
        <v>0.355555555557658</v>
      </c>
    </row>
    <row r="60" customFormat="false" ht="15" hidden="false" customHeight="false" outlineLevel="0" collapsed="false">
      <c r="A60" s="26" t="n">
        <v>46303</v>
      </c>
      <c r="B60" s="27" t="n">
        <f aca="false">A60-WEEKDAY(A60,3)</f>
        <v>46300</v>
      </c>
      <c r="C60" s="19" t="s">
        <v>40</v>
      </c>
      <c r="D60" s="19" t="n">
        <f aca="false">COUNTIFS('Raw Log'!$F$5:$F$1538,A60,'Raw Log'!$B$5:$B$1538,"Feed")</f>
        <v>6</v>
      </c>
      <c r="E60" s="19" t="n">
        <f aca="false">COUNTIFS('Raw Log'!$F$5:$F$1538,A60,'Raw Log'!$B$5:$B$1538,"Feed",'Raw Log'!$C$5:$C$1538,"&gt;0")</f>
        <v>6</v>
      </c>
      <c r="F60" s="19" t="n">
        <f aca="false">IF(E60=0,"",SUMIFS('Raw Log'!$C$5:$C$1538,'Raw Log'!$F$5:$F$1538,A60,'Raw Log'!$B$5:$B$1538,"Feed"))</f>
        <v>31</v>
      </c>
      <c r="G60" s="11" t="n">
        <f aca="false">IF(E60=0,"",F60/E60)</f>
        <v>5.16666666666667</v>
      </c>
      <c r="H60" s="19" t="n">
        <f aca="false">IF(K60=J60,"",COUNTIFS('Raw Log'!$F$5:$F$1538,A60,'Raw Log'!$B$5:$B$1538,"Diaper",'Raw Log'!$D$5:$D$1538,"Pee")+COUNTIFS('Raw Log'!$F$5:$F$1538,A60,'Raw Log'!$B$5:$B$1538,"Diaper",'Raw Log'!$D$5:$D$1538,"Both"))</f>
        <v>5</v>
      </c>
      <c r="I60" s="19" t="n">
        <f aca="false">IF(K60=J60,"",COUNTIFS('Raw Log'!$F$5:$F$1538,A60,'Raw Log'!$B$5:$B$1538,"Diaper",'Raw Log'!$D$5:$D$1538,"Poop")+COUNTIFS('Raw Log'!$F$5:$F$1538,A60,'Raw Log'!$B$5:$B$1538,"Diaper",'Raw Log'!$D$5:$D$1538,"Both"))</f>
        <v>1</v>
      </c>
      <c r="J60" s="19" t="n">
        <f aca="false">COUNTIFS('Raw Log'!$F$5:$F$1538,A60,'Raw Log'!$B$5:$B$1538,"Diaper")</f>
        <v>6</v>
      </c>
      <c r="K60" s="19" t="n">
        <f aca="false">J60-COUNTIFS('Raw Log'!$F$5:$F$1538,A60,'Raw Log'!$B$5:$B$1538,"Diaper",'Raw Log'!$D$5:$D$1538,"Pee")-COUNTIFS('Raw Log'!$F$5:$F$1538,A60,'Raw Log'!$B$5:$B$1538,"Diaper",'Raw Log'!$D$5:$D$1538,"Poop")-COUNTIFS('Raw Log'!$F$5:$F$1538,A60,'Raw Log'!$B$5:$B$1538,"Diaper",'Raw Log'!$D$5:$D$1538,"Both")</f>
        <v>0</v>
      </c>
      <c r="L60" s="19" t="n">
        <f aca="false">COUNTIFS('Sleep Detail'!$A$5:$A$285,A60,'Sleep Detail'!$B$5:$B$285,"Nap")</f>
        <v>4</v>
      </c>
      <c r="M60" s="11" t="n">
        <f aca="false">SUMIFS('Sleep Detail'!$E$5:$E$285,'Sleep Detail'!$A$5:$A$285,A60,'Sleep Detail'!$B$5:$B$285,"Nap")</f>
        <v>2.85</v>
      </c>
      <c r="N60" s="18" t="n">
        <f aca="false">IF(COUNTIFS('Sleep Detail'!$A$5:$A$285,A60,'Sleep Detail'!$B$5:$B$285,"Night")=0,"",_xlfn.MINIFS('Sleep Detail'!$C$5:$C$285,'Sleep Detail'!$A$5:$A$285,A60,'Sleep Detail'!$B$5:$B$285,"Night"))</f>
        <v>46304.0152777778</v>
      </c>
      <c r="O60" s="18" t="n">
        <f aca="false">IF(COUNTIFS('Sleep Detail'!$A$5:$A$285,A60,'Sleep Detail'!$B$5:$B$285,"Night")=0,"",_xlfn.MAXIFS('Sleep Detail'!$D$5:$D$285,'Sleep Detail'!$A$5:$A$285,A60,'Sleep Detail'!$B$5:$B$285,"Night"))</f>
        <v>46304.3333333333</v>
      </c>
      <c r="P60" s="11" t="n">
        <f aca="false">IF(COUNTIFS('Sleep Detail'!$A$5:$A$285,A60,'Sleep Detail'!$B$5:$B$285,"Night")=0,"",SUMIFS('Sleep Detail'!$E$5:$E$285,'Sleep Detail'!$A$5:$A$285,A60,'Sleep Detail'!$B$5:$B$285,"Night"))</f>
        <v>7.63333333333333</v>
      </c>
      <c r="Q60" s="11" t="n">
        <f aca="false">IF(P60="","",M60+P60)</f>
        <v>10.4833333333333</v>
      </c>
      <c r="R60" s="19" t="n">
        <f aca="false">COUNTIFS('Raw Log'!$F$5:$F$1538,A60,'Raw Log'!$B$5:$B$1538,"Medicine")</f>
        <v>3</v>
      </c>
      <c r="S60" s="11" t="n">
        <f aca="false">IF(N60="","",MOD(N60-0.5,1)*24)</f>
        <v>12.3666666666395</v>
      </c>
      <c r="T60" s="18" t="n">
        <f aca="false">IF(O60="","",MOD(O60,1))</f>
        <v>0.333333333343035</v>
      </c>
    </row>
    <row r="61" customFormat="false" ht="15" hidden="false" customHeight="false" outlineLevel="0" collapsed="false">
      <c r="A61" s="26" t="n">
        <v>46304</v>
      </c>
      <c r="B61" s="27" t="n">
        <f aca="false">A61-WEEKDAY(A61,3)</f>
        <v>46300</v>
      </c>
      <c r="C61" s="19" t="s">
        <v>40</v>
      </c>
      <c r="D61" s="19" t="n">
        <f aca="false">COUNTIFS('Raw Log'!$F$5:$F$1538,A61,'Raw Log'!$B$5:$B$1538,"Feed")</f>
        <v>6</v>
      </c>
      <c r="E61" s="19" t="n">
        <f aca="false">COUNTIFS('Raw Log'!$F$5:$F$1538,A61,'Raw Log'!$B$5:$B$1538,"Feed",'Raw Log'!$C$5:$C$1538,"&gt;0")</f>
        <v>6</v>
      </c>
      <c r="F61" s="19" t="n">
        <f aca="false">IF(E61=0,"",SUMIFS('Raw Log'!$C$5:$C$1538,'Raw Log'!$F$5:$F$1538,A61,'Raw Log'!$B$5:$B$1538,"Feed"))</f>
        <v>31</v>
      </c>
      <c r="G61" s="11" t="n">
        <f aca="false">IF(E61=0,"",F61/E61)</f>
        <v>5.16666666666667</v>
      </c>
      <c r="H61" s="19" t="n">
        <f aca="false">IF(K61=J61,"",COUNTIFS('Raw Log'!$F$5:$F$1538,A61,'Raw Log'!$B$5:$B$1538,"Diaper",'Raw Log'!$D$5:$D$1538,"Pee")+COUNTIFS('Raw Log'!$F$5:$F$1538,A61,'Raw Log'!$B$5:$B$1538,"Diaper",'Raw Log'!$D$5:$D$1538,"Both"))</f>
        <v>4</v>
      </c>
      <c r="I61" s="19" t="n">
        <f aca="false">IF(K61=J61,"",COUNTIFS('Raw Log'!$F$5:$F$1538,A61,'Raw Log'!$B$5:$B$1538,"Diaper",'Raw Log'!$D$5:$D$1538,"Poop")+COUNTIFS('Raw Log'!$F$5:$F$1538,A61,'Raw Log'!$B$5:$B$1538,"Diaper",'Raw Log'!$D$5:$D$1538,"Both"))</f>
        <v>1</v>
      </c>
      <c r="J61" s="19" t="n">
        <f aca="false">COUNTIFS('Raw Log'!$F$5:$F$1538,A61,'Raw Log'!$B$5:$B$1538,"Diaper")</f>
        <v>5</v>
      </c>
      <c r="K61" s="19" t="n">
        <f aca="false">J61-COUNTIFS('Raw Log'!$F$5:$F$1538,A61,'Raw Log'!$B$5:$B$1538,"Diaper",'Raw Log'!$D$5:$D$1538,"Pee")-COUNTIFS('Raw Log'!$F$5:$F$1538,A61,'Raw Log'!$B$5:$B$1538,"Diaper",'Raw Log'!$D$5:$D$1538,"Poop")-COUNTIFS('Raw Log'!$F$5:$F$1538,A61,'Raw Log'!$B$5:$B$1538,"Diaper",'Raw Log'!$D$5:$D$1538,"Both")</f>
        <v>0</v>
      </c>
      <c r="L61" s="19" t="n">
        <f aca="false">COUNTIFS('Sleep Detail'!$A$5:$A$285,A61,'Sleep Detail'!$B$5:$B$285,"Nap")</f>
        <v>4</v>
      </c>
      <c r="M61" s="11" t="n">
        <f aca="false">SUMIFS('Sleep Detail'!$E$5:$E$285,'Sleep Detail'!$A$5:$A$285,A61,'Sleep Detail'!$B$5:$B$285,"Nap")</f>
        <v>2.38333333318167</v>
      </c>
      <c r="N61" s="18" t="n">
        <f aca="false">IF(COUNTIFS('Sleep Detail'!$A$5:$A$285,A61,'Sleep Detail'!$B$5:$B$285,"Night")=0,"",_xlfn.MINIFS('Sleep Detail'!$C$5:$C$285,'Sleep Detail'!$A$5:$A$285,A61,'Sleep Detail'!$B$5:$B$285,"Night"))</f>
        <v>46305.0347222222</v>
      </c>
      <c r="O61" s="18" t="n">
        <f aca="false">IF(COUNTIFS('Sleep Detail'!$A$5:$A$285,A61,'Sleep Detail'!$B$5:$B$285,"Night")=0,"",_xlfn.MAXIFS('Sleep Detail'!$D$5:$D$285,'Sleep Detail'!$A$5:$A$285,A61,'Sleep Detail'!$B$5:$B$285,"Night"))</f>
        <v>46305.3631944444</v>
      </c>
      <c r="P61" s="11" t="n">
        <f aca="false">IF(COUNTIFS('Sleep Detail'!$A$5:$A$285,A61,'Sleep Detail'!$B$5:$B$285,"Night")=0,"",SUMIFS('Sleep Detail'!$E$5:$E$285,'Sleep Detail'!$A$5:$A$285,A61,'Sleep Detail'!$B$5:$B$285,"Night"))</f>
        <v>7.88333333333333</v>
      </c>
      <c r="Q61" s="11" t="n">
        <f aca="false">IF(P61="","",M61+P61)</f>
        <v>10.266666666515</v>
      </c>
      <c r="R61" s="19" t="n">
        <f aca="false">COUNTIFS('Raw Log'!$F$5:$F$1538,A61,'Raw Log'!$B$5:$B$1538,"Medicine")</f>
        <v>3</v>
      </c>
      <c r="S61" s="11" t="n">
        <f aca="false">IF(N61="","",MOD(N61-0.5,1)*24)</f>
        <v>12.8333333332557</v>
      </c>
      <c r="T61" s="18" t="n">
        <f aca="false">IF(O61="","",MOD(O61,1))</f>
        <v>0.363194444442343</v>
      </c>
    </row>
    <row r="62" customFormat="false" ht="15" hidden="false" customHeight="false" outlineLevel="0" collapsed="false">
      <c r="A62" s="26" t="n">
        <v>46305</v>
      </c>
      <c r="B62" s="27" t="n">
        <f aca="false">A62-WEEKDAY(A62,3)</f>
        <v>46300</v>
      </c>
      <c r="C62" s="19" t="s">
        <v>40</v>
      </c>
      <c r="D62" s="19" t="n">
        <f aca="false">COUNTIFS('Raw Log'!$F$5:$F$1538,A62,'Raw Log'!$B$5:$B$1538,"Feed")</f>
        <v>5</v>
      </c>
      <c r="E62" s="19" t="n">
        <f aca="false">COUNTIFS('Raw Log'!$F$5:$F$1538,A62,'Raw Log'!$B$5:$B$1538,"Feed",'Raw Log'!$C$5:$C$1538,"&gt;0")</f>
        <v>5</v>
      </c>
      <c r="F62" s="19" t="n">
        <f aca="false">IF(E62=0,"",SUMIFS('Raw Log'!$C$5:$C$1538,'Raw Log'!$F$5:$F$1538,A62,'Raw Log'!$B$5:$B$1538,"Feed"))</f>
        <v>26</v>
      </c>
      <c r="G62" s="11" t="n">
        <f aca="false">IF(E62=0,"",F62/E62)</f>
        <v>5.2</v>
      </c>
      <c r="H62" s="19" t="n">
        <f aca="false">IF(K62=J62,"",COUNTIFS('Raw Log'!$F$5:$F$1538,A62,'Raw Log'!$B$5:$B$1538,"Diaper",'Raw Log'!$D$5:$D$1538,"Pee")+COUNTIFS('Raw Log'!$F$5:$F$1538,A62,'Raw Log'!$B$5:$B$1538,"Diaper",'Raw Log'!$D$5:$D$1538,"Both"))</f>
        <v>5</v>
      </c>
      <c r="I62" s="19" t="n">
        <f aca="false">IF(K62=J62,"",COUNTIFS('Raw Log'!$F$5:$F$1538,A62,'Raw Log'!$B$5:$B$1538,"Diaper",'Raw Log'!$D$5:$D$1538,"Poop")+COUNTIFS('Raw Log'!$F$5:$F$1538,A62,'Raw Log'!$B$5:$B$1538,"Diaper",'Raw Log'!$D$5:$D$1538,"Both"))</f>
        <v>1</v>
      </c>
      <c r="J62" s="19" t="n">
        <f aca="false">COUNTIFS('Raw Log'!$F$5:$F$1538,A62,'Raw Log'!$B$5:$B$1538,"Diaper")</f>
        <v>6</v>
      </c>
      <c r="K62" s="19" t="n">
        <f aca="false">J62-COUNTIFS('Raw Log'!$F$5:$F$1538,A62,'Raw Log'!$B$5:$B$1538,"Diaper",'Raw Log'!$D$5:$D$1538,"Pee")-COUNTIFS('Raw Log'!$F$5:$F$1538,A62,'Raw Log'!$B$5:$B$1538,"Diaper",'Raw Log'!$D$5:$D$1538,"Poop")-COUNTIFS('Raw Log'!$F$5:$F$1538,A62,'Raw Log'!$B$5:$B$1538,"Diaper",'Raw Log'!$D$5:$D$1538,"Both")</f>
        <v>0</v>
      </c>
      <c r="L62" s="19" t="n">
        <f aca="false">COUNTIFS('Sleep Detail'!$A$5:$A$285,A62,'Sleep Detail'!$B$5:$B$285,"Nap")</f>
        <v>4</v>
      </c>
      <c r="M62" s="11" t="n">
        <f aca="false">SUMIFS('Sleep Detail'!$E$5:$E$285,'Sleep Detail'!$A$5:$A$285,A62,'Sleep Detail'!$B$5:$B$285,"Nap")</f>
        <v>2.43333333333306</v>
      </c>
      <c r="N62" s="18" t="n">
        <f aca="false">IF(COUNTIFS('Sleep Detail'!$A$5:$A$285,A62,'Sleep Detail'!$B$5:$B$285,"Night")=0,"",_xlfn.MINIFS('Sleep Detail'!$C$5:$C$285,'Sleep Detail'!$A$5:$A$285,A62,'Sleep Detail'!$B$5:$B$285,"Night"))</f>
        <v>46306.0104166667</v>
      </c>
      <c r="O62" s="18" t="n">
        <f aca="false">IF(COUNTIFS('Sleep Detail'!$A$5:$A$285,A62,'Sleep Detail'!$B$5:$B$285,"Night")=0,"",_xlfn.MAXIFS('Sleep Detail'!$D$5:$D$285,'Sleep Detail'!$A$5:$A$285,A62,'Sleep Detail'!$B$5:$B$285,"Night"))</f>
        <v>46306.4118055556</v>
      </c>
      <c r="P62" s="11" t="n">
        <f aca="false">IF(COUNTIFS('Sleep Detail'!$A$5:$A$285,A62,'Sleep Detail'!$B$5:$B$285,"Night")=0,"",SUMIFS('Sleep Detail'!$E$5:$E$285,'Sleep Detail'!$A$5:$A$285,A62,'Sleep Detail'!$B$5:$B$285,"Night"))</f>
        <v>9.63333333365139</v>
      </c>
      <c r="Q62" s="11" t="n">
        <f aca="false">IF(P62="","",M62+P62)</f>
        <v>12.0666666669844</v>
      </c>
      <c r="R62" s="19" t="n">
        <f aca="false">COUNTIFS('Raw Log'!$F$5:$F$1538,A62,'Raw Log'!$B$5:$B$1538,"Medicine")</f>
        <v>3</v>
      </c>
      <c r="S62" s="11" t="n">
        <f aca="false">IF(N62="","",MOD(N62-0.5,1)*24)</f>
        <v>12.2499999999418</v>
      </c>
      <c r="T62" s="18" t="n">
        <f aca="false">IF(O62="","",MOD(O62,1))</f>
        <v>0.411805555559113</v>
      </c>
    </row>
    <row r="63" customFormat="false" ht="15" hidden="false" customHeight="false" outlineLevel="0" collapsed="false">
      <c r="A63" s="26" t="n">
        <v>46306</v>
      </c>
      <c r="B63" s="27" t="n">
        <f aca="false">A63-WEEKDAY(A63,3)</f>
        <v>46300</v>
      </c>
      <c r="C63" s="19" t="s">
        <v>40</v>
      </c>
      <c r="D63" s="19" t="n">
        <f aca="false">COUNTIFS('Raw Log'!$F$5:$F$1538,A63,'Raw Log'!$B$5:$B$1538,"Feed")</f>
        <v>6</v>
      </c>
      <c r="E63" s="19" t="n">
        <f aca="false">COUNTIFS('Raw Log'!$F$5:$F$1538,A63,'Raw Log'!$B$5:$B$1538,"Feed",'Raw Log'!$C$5:$C$1538,"&gt;0")</f>
        <v>6</v>
      </c>
      <c r="F63" s="19" t="n">
        <f aca="false">IF(E63=0,"",SUMIFS('Raw Log'!$C$5:$C$1538,'Raw Log'!$F$5:$F$1538,A63,'Raw Log'!$B$5:$B$1538,"Feed"))</f>
        <v>30</v>
      </c>
      <c r="G63" s="11" t="n">
        <f aca="false">IF(E63=0,"",F63/E63)</f>
        <v>5</v>
      </c>
      <c r="H63" s="19" t="n">
        <f aca="false">IF(K63=J63,"",COUNTIFS('Raw Log'!$F$5:$F$1538,A63,'Raw Log'!$B$5:$B$1538,"Diaper",'Raw Log'!$D$5:$D$1538,"Pee")+COUNTIFS('Raw Log'!$F$5:$F$1538,A63,'Raw Log'!$B$5:$B$1538,"Diaper",'Raw Log'!$D$5:$D$1538,"Both"))</f>
        <v>4</v>
      </c>
      <c r="I63" s="19" t="n">
        <f aca="false">IF(K63=J63,"",COUNTIFS('Raw Log'!$F$5:$F$1538,A63,'Raw Log'!$B$5:$B$1538,"Diaper",'Raw Log'!$D$5:$D$1538,"Poop")+COUNTIFS('Raw Log'!$F$5:$F$1538,A63,'Raw Log'!$B$5:$B$1538,"Diaper",'Raw Log'!$D$5:$D$1538,"Both"))</f>
        <v>1</v>
      </c>
      <c r="J63" s="19" t="n">
        <f aca="false">COUNTIFS('Raw Log'!$F$5:$F$1538,A63,'Raw Log'!$B$5:$B$1538,"Diaper")</f>
        <v>5</v>
      </c>
      <c r="K63" s="19" t="n">
        <f aca="false">J63-COUNTIFS('Raw Log'!$F$5:$F$1538,A63,'Raw Log'!$B$5:$B$1538,"Diaper",'Raw Log'!$D$5:$D$1538,"Pee")-COUNTIFS('Raw Log'!$F$5:$F$1538,A63,'Raw Log'!$B$5:$B$1538,"Diaper",'Raw Log'!$D$5:$D$1538,"Poop")-COUNTIFS('Raw Log'!$F$5:$F$1538,A63,'Raw Log'!$B$5:$B$1538,"Diaper",'Raw Log'!$D$5:$D$1538,"Both")</f>
        <v>0</v>
      </c>
      <c r="L63" s="19" t="n">
        <f aca="false">COUNTIFS('Sleep Detail'!$A$5:$A$285,A63,'Sleep Detail'!$B$5:$B$285,"Nap")</f>
        <v>5</v>
      </c>
      <c r="M63" s="11" t="n">
        <f aca="false">SUMIFS('Sleep Detail'!$E$5:$E$285,'Sleep Detail'!$A$5:$A$285,A63,'Sleep Detail'!$B$5:$B$285,"Nap")</f>
        <v>2.81666666666667</v>
      </c>
      <c r="N63" s="18" t="n">
        <f aca="false">IF(COUNTIFS('Sleep Detail'!$A$5:$A$285,A63,'Sleep Detail'!$B$5:$B$285,"Night")=0,"",_xlfn.MINIFS('Sleep Detail'!$C$5:$C$285,'Sleep Detail'!$A$5:$A$285,A63,'Sleep Detail'!$B$5:$B$285,"Night"))</f>
        <v>46307.0583333333</v>
      </c>
      <c r="O63" s="18" t="n">
        <f aca="false">IF(COUNTIFS('Sleep Detail'!$A$5:$A$285,A63,'Sleep Detail'!$B$5:$B$285,"Night")=0,"",_xlfn.MAXIFS('Sleep Detail'!$D$5:$D$285,'Sleep Detail'!$A$5:$A$285,A63,'Sleep Detail'!$B$5:$B$285,"Night"))</f>
        <v>46307.3652777778</v>
      </c>
      <c r="P63" s="11" t="n">
        <f aca="false">IF(COUNTIFS('Sleep Detail'!$A$5:$A$285,A63,'Sleep Detail'!$B$5:$B$285,"Night")=0,"",SUMIFS('Sleep Detail'!$E$5:$E$285,'Sleep Detail'!$A$5:$A$285,A63,'Sleep Detail'!$B$5:$B$285,"Night"))</f>
        <v>7.36666666666667</v>
      </c>
      <c r="Q63" s="11" t="n">
        <f aca="false">IF(P63="","",M63+P63)</f>
        <v>10.1833333333333</v>
      </c>
      <c r="R63" s="19" t="n">
        <f aca="false">COUNTIFS('Raw Log'!$F$5:$F$1538,A63,'Raw Log'!$B$5:$B$1538,"Medicine")</f>
        <v>3</v>
      </c>
      <c r="S63" s="11" t="n">
        <f aca="false">IF(N63="","",MOD(N63-0.5,1)*24)</f>
        <v>13.4000000000233</v>
      </c>
      <c r="T63" s="18" t="n">
        <f aca="false">IF(O63="","",MOD(O63,1))</f>
        <v>0.365277777782467</v>
      </c>
    </row>
    <row r="64" customFormat="false" ht="15" hidden="false" customHeight="false" outlineLevel="0" collapsed="false">
      <c r="A64" s="26" t="n">
        <v>46307</v>
      </c>
      <c r="B64" s="27" t="n">
        <f aca="false">A64-WEEKDAY(A64,3)</f>
        <v>46307</v>
      </c>
      <c r="C64" s="19" t="s">
        <v>40</v>
      </c>
      <c r="D64" s="19" t="n">
        <f aca="false">COUNTIFS('Raw Log'!$F$5:$F$1538,A64,'Raw Log'!$B$5:$B$1538,"Feed")</f>
        <v>6</v>
      </c>
      <c r="E64" s="19" t="n">
        <f aca="false">COUNTIFS('Raw Log'!$F$5:$F$1538,A64,'Raw Log'!$B$5:$B$1538,"Feed",'Raw Log'!$C$5:$C$1538,"&gt;0")</f>
        <v>6</v>
      </c>
      <c r="F64" s="19" t="n">
        <f aca="false">IF(E64=0,"",SUMIFS('Raw Log'!$C$5:$C$1538,'Raw Log'!$F$5:$F$1538,A64,'Raw Log'!$B$5:$B$1538,"Feed"))</f>
        <v>31</v>
      </c>
      <c r="G64" s="11" t="n">
        <f aca="false">IF(E64=0,"",F64/E64)</f>
        <v>5.16666666666667</v>
      </c>
      <c r="H64" s="19" t="n">
        <f aca="false">IF(K64=J64,"",COUNTIFS('Raw Log'!$F$5:$F$1538,A64,'Raw Log'!$B$5:$B$1538,"Diaper",'Raw Log'!$D$5:$D$1538,"Pee")+COUNTIFS('Raw Log'!$F$5:$F$1538,A64,'Raw Log'!$B$5:$B$1538,"Diaper",'Raw Log'!$D$5:$D$1538,"Both"))</f>
        <v>5</v>
      </c>
      <c r="I64" s="19" t="n">
        <f aca="false">IF(K64=J64,"",COUNTIFS('Raw Log'!$F$5:$F$1538,A64,'Raw Log'!$B$5:$B$1538,"Diaper",'Raw Log'!$D$5:$D$1538,"Poop")+COUNTIFS('Raw Log'!$F$5:$F$1538,A64,'Raw Log'!$B$5:$B$1538,"Diaper",'Raw Log'!$D$5:$D$1538,"Both"))</f>
        <v>1</v>
      </c>
      <c r="J64" s="19" t="n">
        <f aca="false">COUNTIFS('Raw Log'!$F$5:$F$1538,A64,'Raw Log'!$B$5:$B$1538,"Diaper")</f>
        <v>6</v>
      </c>
      <c r="K64" s="19" t="n">
        <f aca="false">J64-COUNTIFS('Raw Log'!$F$5:$F$1538,A64,'Raw Log'!$B$5:$B$1538,"Diaper",'Raw Log'!$D$5:$D$1538,"Pee")-COUNTIFS('Raw Log'!$F$5:$F$1538,A64,'Raw Log'!$B$5:$B$1538,"Diaper",'Raw Log'!$D$5:$D$1538,"Poop")-COUNTIFS('Raw Log'!$F$5:$F$1538,A64,'Raw Log'!$B$5:$B$1538,"Diaper",'Raw Log'!$D$5:$D$1538,"Both")</f>
        <v>0</v>
      </c>
      <c r="L64" s="19" t="n">
        <f aca="false">COUNTIFS('Sleep Detail'!$A$5:$A$285,A64,'Sleep Detail'!$B$5:$B$285,"Nap")</f>
        <v>3</v>
      </c>
      <c r="M64" s="11" t="n">
        <f aca="false">SUMIFS('Sleep Detail'!$E$5:$E$285,'Sleep Detail'!$A$5:$A$285,A64,'Sleep Detail'!$B$5:$B$285,"Nap")</f>
        <v>3.31666666666667</v>
      </c>
      <c r="N64" s="18" t="n">
        <f aca="false">IF(COUNTIFS('Sleep Detail'!$A$5:$A$285,A64,'Sleep Detail'!$B$5:$B$285,"Night")=0,"",_xlfn.MINIFS('Sleep Detail'!$C$5:$C$285,'Sleep Detail'!$A$5:$A$285,A64,'Sleep Detail'!$B$5:$B$285,"Night"))</f>
        <v>46308.0763888889</v>
      </c>
      <c r="O64" s="18" t="n">
        <f aca="false">IF(COUNTIFS('Sleep Detail'!$A$5:$A$285,A64,'Sleep Detail'!$B$5:$B$285,"Night")=0,"",_xlfn.MAXIFS('Sleep Detail'!$D$5:$D$285,'Sleep Detail'!$A$5:$A$285,A64,'Sleep Detail'!$B$5:$B$285,"Night"))</f>
        <v>46308.3541666667</v>
      </c>
      <c r="P64" s="11" t="n">
        <f aca="false">IF(COUNTIFS('Sleep Detail'!$A$5:$A$285,A64,'Sleep Detail'!$B$5:$B$285,"Night")=0,"",SUMIFS('Sleep Detail'!$E$5:$E$285,'Sleep Detail'!$A$5:$A$285,A64,'Sleep Detail'!$B$5:$B$285,"Night"))</f>
        <v>6.66666666666667</v>
      </c>
      <c r="Q64" s="11" t="n">
        <f aca="false">IF(P64="","",M64+P64)</f>
        <v>9.98333333333333</v>
      </c>
      <c r="R64" s="19" t="n">
        <f aca="false">COUNTIFS('Raw Log'!$F$5:$F$1538,A64,'Raw Log'!$B$5:$B$1538,"Medicine")</f>
        <v>3</v>
      </c>
      <c r="S64" s="11" t="n">
        <f aca="false">IF(N64="","",MOD(N64-0.5,1)*24)</f>
        <v>13.8333333333721</v>
      </c>
      <c r="T64" s="18" t="n">
        <f aca="false">IF(O64="","",MOD(O64,1))</f>
        <v>0.354166666656965</v>
      </c>
    </row>
    <row r="65" customFormat="false" ht="15" hidden="false" customHeight="false" outlineLevel="0" collapsed="false">
      <c r="A65" s="26" t="n">
        <v>46308</v>
      </c>
      <c r="B65" s="27" t="n">
        <f aca="false">A65-WEEKDAY(A65,3)</f>
        <v>46307</v>
      </c>
      <c r="C65" s="19" t="s">
        <v>40</v>
      </c>
      <c r="D65" s="19" t="n">
        <f aca="false">COUNTIFS('Raw Log'!$F$5:$F$1538,A65,'Raw Log'!$B$5:$B$1538,"Feed")</f>
        <v>6</v>
      </c>
      <c r="E65" s="19" t="n">
        <f aca="false">COUNTIFS('Raw Log'!$F$5:$F$1538,A65,'Raw Log'!$B$5:$B$1538,"Feed",'Raw Log'!$C$5:$C$1538,"&gt;0")</f>
        <v>6</v>
      </c>
      <c r="F65" s="19" t="n">
        <f aca="false">IF(E65=0,"",SUMIFS('Raw Log'!$C$5:$C$1538,'Raw Log'!$F$5:$F$1538,A65,'Raw Log'!$B$5:$B$1538,"Feed"))</f>
        <v>30</v>
      </c>
      <c r="G65" s="11" t="n">
        <f aca="false">IF(E65=0,"",F65/E65)</f>
        <v>5</v>
      </c>
      <c r="H65" s="19" t="n">
        <f aca="false">IF(K65=J65,"",COUNTIFS('Raw Log'!$F$5:$F$1538,A65,'Raw Log'!$B$5:$B$1538,"Diaper",'Raw Log'!$D$5:$D$1538,"Pee")+COUNTIFS('Raw Log'!$F$5:$F$1538,A65,'Raw Log'!$B$5:$B$1538,"Diaper",'Raw Log'!$D$5:$D$1538,"Both"))</f>
        <v>4</v>
      </c>
      <c r="I65" s="19" t="n">
        <f aca="false">IF(K65=J65,"",COUNTIFS('Raw Log'!$F$5:$F$1538,A65,'Raw Log'!$B$5:$B$1538,"Diaper",'Raw Log'!$D$5:$D$1538,"Poop")+COUNTIFS('Raw Log'!$F$5:$F$1538,A65,'Raw Log'!$B$5:$B$1538,"Diaper",'Raw Log'!$D$5:$D$1538,"Both"))</f>
        <v>1</v>
      </c>
      <c r="J65" s="19" t="n">
        <f aca="false">COUNTIFS('Raw Log'!$F$5:$F$1538,A65,'Raw Log'!$B$5:$B$1538,"Diaper")</f>
        <v>5</v>
      </c>
      <c r="K65" s="19" t="n">
        <f aca="false">J65-COUNTIFS('Raw Log'!$F$5:$F$1538,A65,'Raw Log'!$B$5:$B$1538,"Diaper",'Raw Log'!$D$5:$D$1538,"Pee")-COUNTIFS('Raw Log'!$F$5:$F$1538,A65,'Raw Log'!$B$5:$B$1538,"Diaper",'Raw Log'!$D$5:$D$1538,"Poop")-COUNTIFS('Raw Log'!$F$5:$F$1538,A65,'Raw Log'!$B$5:$B$1538,"Diaper",'Raw Log'!$D$5:$D$1538,"Both")</f>
        <v>0</v>
      </c>
      <c r="L65" s="19" t="n">
        <f aca="false">COUNTIFS('Sleep Detail'!$A$5:$A$285,A65,'Sleep Detail'!$B$5:$B$285,"Nap")</f>
        <v>5</v>
      </c>
      <c r="M65" s="11" t="n">
        <f aca="false">SUMIFS('Sleep Detail'!$E$5:$E$285,'Sleep Detail'!$A$5:$A$285,A65,'Sleep Detail'!$B$5:$B$285,"Nap")</f>
        <v>2.79999999953417</v>
      </c>
      <c r="N65" s="18" t="n">
        <f aca="false">IF(COUNTIFS('Sleep Detail'!$A$5:$A$285,A65,'Sleep Detail'!$B$5:$B$285,"Night")=0,"",_xlfn.MINIFS('Sleep Detail'!$C$5:$C$285,'Sleep Detail'!$A$5:$A$285,A65,'Sleep Detail'!$B$5:$B$285,"Night"))</f>
        <v>46309.0243055556</v>
      </c>
      <c r="O65" s="18" t="n">
        <f aca="false">IF(COUNTIFS('Sleep Detail'!$A$5:$A$285,A65,'Sleep Detail'!$B$5:$B$285,"Night")=0,"",_xlfn.MAXIFS('Sleep Detail'!$D$5:$D$285,'Sleep Detail'!$A$5:$A$285,A65,'Sleep Detail'!$B$5:$B$285,"Night"))</f>
        <v>46309.2673611111</v>
      </c>
      <c r="P65" s="11" t="n">
        <f aca="false">IF(COUNTIFS('Sleep Detail'!$A$5:$A$285,A65,'Sleep Detail'!$B$5:$B$285,"Night")=0,"",SUMIFS('Sleep Detail'!$E$5:$E$285,'Sleep Detail'!$A$5:$A$285,A65,'Sleep Detail'!$B$5:$B$285,"Night"))</f>
        <v>5.83333333333333</v>
      </c>
      <c r="Q65" s="11" t="n">
        <f aca="false">IF(P65="","",M65+P65)</f>
        <v>8.6333333328675</v>
      </c>
      <c r="R65" s="19" t="n">
        <f aca="false">COUNTIFS('Raw Log'!$F$5:$F$1538,A65,'Raw Log'!$B$5:$B$1538,"Medicine")</f>
        <v>2</v>
      </c>
      <c r="S65" s="11" t="n">
        <f aca="false">IF(N65="","",MOD(N65-0.5,1)*24)</f>
        <v>12.5833333333139</v>
      </c>
      <c r="T65" s="18" t="n">
        <f aca="false">IF(O65="","",MOD(O65,1))</f>
        <v>0.267361111109494</v>
      </c>
    </row>
    <row r="66" customFormat="false" ht="15" hidden="false" customHeight="false" outlineLevel="0" collapsed="false">
      <c r="A66" s="26" t="n">
        <v>46309</v>
      </c>
      <c r="B66" s="27" t="n">
        <f aca="false">A66-WEEKDAY(A66,3)</f>
        <v>46307</v>
      </c>
      <c r="C66" s="19" t="s">
        <v>40</v>
      </c>
      <c r="D66" s="19" t="n">
        <f aca="false">COUNTIFS('Raw Log'!$F$5:$F$1538,A66,'Raw Log'!$B$5:$B$1538,"Feed")</f>
        <v>5</v>
      </c>
      <c r="E66" s="19" t="n">
        <f aca="false">COUNTIFS('Raw Log'!$F$5:$F$1538,A66,'Raw Log'!$B$5:$B$1538,"Feed",'Raw Log'!$C$5:$C$1538,"&gt;0")</f>
        <v>5</v>
      </c>
      <c r="F66" s="19" t="n">
        <f aca="false">IF(E66=0,"",SUMIFS('Raw Log'!$C$5:$C$1538,'Raw Log'!$F$5:$F$1538,A66,'Raw Log'!$B$5:$B$1538,"Feed"))</f>
        <v>26</v>
      </c>
      <c r="G66" s="11" t="n">
        <f aca="false">IF(E66=0,"",F66/E66)</f>
        <v>5.2</v>
      </c>
      <c r="H66" s="19" t="n">
        <f aca="false">IF(K66=J66,"",COUNTIFS('Raw Log'!$F$5:$F$1538,A66,'Raw Log'!$B$5:$B$1538,"Diaper",'Raw Log'!$D$5:$D$1538,"Pee")+COUNTIFS('Raw Log'!$F$5:$F$1538,A66,'Raw Log'!$B$5:$B$1538,"Diaper",'Raw Log'!$D$5:$D$1538,"Both"))</f>
        <v>4</v>
      </c>
      <c r="I66" s="19" t="n">
        <f aca="false">IF(K66=J66,"",COUNTIFS('Raw Log'!$F$5:$F$1538,A66,'Raw Log'!$B$5:$B$1538,"Diaper",'Raw Log'!$D$5:$D$1538,"Poop")+COUNTIFS('Raw Log'!$F$5:$F$1538,A66,'Raw Log'!$B$5:$B$1538,"Diaper",'Raw Log'!$D$5:$D$1538,"Both"))</f>
        <v>1</v>
      </c>
      <c r="J66" s="19" t="n">
        <f aca="false">COUNTIFS('Raw Log'!$F$5:$F$1538,A66,'Raw Log'!$B$5:$B$1538,"Diaper")</f>
        <v>5</v>
      </c>
      <c r="K66" s="19" t="n">
        <f aca="false">J66-COUNTIFS('Raw Log'!$F$5:$F$1538,A66,'Raw Log'!$B$5:$B$1538,"Diaper",'Raw Log'!$D$5:$D$1538,"Pee")-COUNTIFS('Raw Log'!$F$5:$F$1538,A66,'Raw Log'!$B$5:$B$1538,"Diaper",'Raw Log'!$D$5:$D$1538,"Poop")-COUNTIFS('Raw Log'!$F$5:$F$1538,A66,'Raw Log'!$B$5:$B$1538,"Diaper",'Raw Log'!$D$5:$D$1538,"Both")</f>
        <v>0</v>
      </c>
      <c r="L66" s="19" t="n">
        <f aca="false">COUNTIFS('Sleep Detail'!$A$5:$A$285,A66,'Sleep Detail'!$B$5:$B$285,"Nap")</f>
        <v>5</v>
      </c>
      <c r="M66" s="11" t="n">
        <f aca="false">SUMIFS('Sleep Detail'!$E$5:$E$285,'Sleep Detail'!$A$5:$A$285,A66,'Sleep Detail'!$B$5:$B$285,"Nap")</f>
        <v>4.4</v>
      </c>
      <c r="N66" s="18" t="n">
        <f aca="false">IF(COUNTIFS('Sleep Detail'!$A$5:$A$285,A66,'Sleep Detail'!$B$5:$B$285,"Night")=0,"",_xlfn.MINIFS('Sleep Detail'!$C$5:$C$285,'Sleep Detail'!$A$5:$A$285,A66,'Sleep Detail'!$B$5:$B$285,"Night"))</f>
        <v>46310.0361111111</v>
      </c>
      <c r="O66" s="18" t="n">
        <f aca="false">IF(COUNTIFS('Sleep Detail'!$A$5:$A$285,A66,'Sleep Detail'!$B$5:$B$285,"Night")=0,"",_xlfn.MAXIFS('Sleep Detail'!$D$5:$D$285,'Sleep Detail'!$A$5:$A$285,A66,'Sleep Detail'!$B$5:$B$285,"Night"))</f>
        <v>46310.3465277778</v>
      </c>
      <c r="P66" s="11" t="n">
        <f aca="false">IF(COUNTIFS('Sleep Detail'!$A$5:$A$285,A66,'Sleep Detail'!$B$5:$B$285,"Night")=0,"",SUMIFS('Sleep Detail'!$E$5:$E$285,'Sleep Detail'!$A$5:$A$285,A66,'Sleep Detail'!$B$5:$B$285,"Night"))</f>
        <v>7.45</v>
      </c>
      <c r="Q66" s="11" t="n">
        <f aca="false">IF(P66="","",M66+P66)</f>
        <v>11.85</v>
      </c>
      <c r="R66" s="19" t="n">
        <f aca="false">COUNTIFS('Raw Log'!$F$5:$F$1538,A66,'Raw Log'!$B$5:$B$1538,"Medicine")</f>
        <v>3</v>
      </c>
      <c r="S66" s="11" t="n">
        <f aca="false">IF(N66="","",MOD(N66-0.5,1)*24)</f>
        <v>12.8666666666977</v>
      </c>
      <c r="T66" s="18" t="n">
        <f aca="false">IF(O66="","",MOD(O66,1))</f>
        <v>0.346527777779556</v>
      </c>
    </row>
    <row r="67" customFormat="false" ht="15" hidden="false" customHeight="false" outlineLevel="0" collapsed="false">
      <c r="A67" s="26" t="n">
        <v>46310</v>
      </c>
      <c r="B67" s="27" t="n">
        <f aca="false">A67-WEEKDAY(A67,3)</f>
        <v>46307</v>
      </c>
      <c r="C67" s="19" t="s">
        <v>40</v>
      </c>
      <c r="D67" s="19" t="n">
        <f aca="false">COUNTIFS('Raw Log'!$F$5:$F$1538,A67,'Raw Log'!$B$5:$B$1538,"Feed")</f>
        <v>6</v>
      </c>
      <c r="E67" s="19" t="n">
        <f aca="false">COUNTIFS('Raw Log'!$F$5:$F$1538,A67,'Raw Log'!$B$5:$B$1538,"Feed",'Raw Log'!$C$5:$C$1538,"&gt;0")</f>
        <v>6</v>
      </c>
      <c r="F67" s="19" t="n">
        <f aca="false">IF(E67=0,"",SUMIFS('Raw Log'!$C$5:$C$1538,'Raw Log'!$F$5:$F$1538,A67,'Raw Log'!$B$5:$B$1538,"Feed"))</f>
        <v>31</v>
      </c>
      <c r="G67" s="11" t="n">
        <f aca="false">IF(E67=0,"",F67/E67)</f>
        <v>5.16666666666667</v>
      </c>
      <c r="H67" s="19" t="n">
        <f aca="false">IF(K67=J67,"",COUNTIFS('Raw Log'!$F$5:$F$1538,A67,'Raw Log'!$B$5:$B$1538,"Diaper",'Raw Log'!$D$5:$D$1538,"Pee")+COUNTIFS('Raw Log'!$F$5:$F$1538,A67,'Raw Log'!$B$5:$B$1538,"Diaper",'Raw Log'!$D$5:$D$1538,"Both"))</f>
        <v>5</v>
      </c>
      <c r="I67" s="19" t="n">
        <f aca="false">IF(K67=J67,"",COUNTIFS('Raw Log'!$F$5:$F$1538,A67,'Raw Log'!$B$5:$B$1538,"Diaper",'Raw Log'!$D$5:$D$1538,"Poop")+COUNTIFS('Raw Log'!$F$5:$F$1538,A67,'Raw Log'!$B$5:$B$1538,"Diaper",'Raw Log'!$D$5:$D$1538,"Both"))</f>
        <v>0</v>
      </c>
      <c r="J67" s="19" t="n">
        <f aca="false">COUNTIFS('Raw Log'!$F$5:$F$1538,A67,'Raw Log'!$B$5:$B$1538,"Diaper")</f>
        <v>5</v>
      </c>
      <c r="K67" s="19" t="n">
        <f aca="false">J67-COUNTIFS('Raw Log'!$F$5:$F$1538,A67,'Raw Log'!$B$5:$B$1538,"Diaper",'Raw Log'!$D$5:$D$1538,"Pee")-COUNTIFS('Raw Log'!$F$5:$F$1538,A67,'Raw Log'!$B$5:$B$1538,"Diaper",'Raw Log'!$D$5:$D$1538,"Poop")-COUNTIFS('Raw Log'!$F$5:$F$1538,A67,'Raw Log'!$B$5:$B$1538,"Diaper",'Raw Log'!$D$5:$D$1538,"Both")</f>
        <v>0</v>
      </c>
      <c r="L67" s="19" t="n">
        <f aca="false">COUNTIFS('Sleep Detail'!$A$5:$A$285,A67,'Sleep Detail'!$B$5:$B$285,"Nap")</f>
        <v>3</v>
      </c>
      <c r="M67" s="11" t="n">
        <f aca="false">SUMIFS('Sleep Detail'!$E$5:$E$285,'Sleep Detail'!$A$5:$A$285,A67,'Sleep Detail'!$B$5:$B$285,"Nap")</f>
        <v>3.43333333333333</v>
      </c>
      <c r="N67" s="18" t="n">
        <f aca="false">IF(COUNTIFS('Sleep Detail'!$A$5:$A$285,A67,'Sleep Detail'!$B$5:$B$285,"Night")=0,"",_xlfn.MINIFS('Sleep Detail'!$C$5:$C$285,'Sleep Detail'!$A$5:$A$285,A67,'Sleep Detail'!$B$5:$B$285,"Night"))</f>
        <v>46311.0631944445</v>
      </c>
      <c r="O67" s="18" t="n">
        <f aca="false">IF(COUNTIFS('Sleep Detail'!$A$5:$A$285,A67,'Sleep Detail'!$B$5:$B$285,"Night")=0,"",_xlfn.MAXIFS('Sleep Detail'!$D$5:$D$285,'Sleep Detail'!$A$5:$A$285,A67,'Sleep Detail'!$B$5:$B$285,"Night"))</f>
        <v>46311.39375</v>
      </c>
      <c r="P67" s="11" t="n">
        <f aca="false">IF(COUNTIFS('Sleep Detail'!$A$5:$A$285,A67,'Sleep Detail'!$B$5:$B$285,"Night")=0,"",SUMIFS('Sleep Detail'!$E$5:$E$285,'Sleep Detail'!$A$5:$A$285,A67,'Sleep Detail'!$B$5:$B$285,"Night"))</f>
        <v>7.93333333333333</v>
      </c>
      <c r="Q67" s="11" t="n">
        <f aca="false">IF(P67="","",M67+P67)</f>
        <v>11.3666666666667</v>
      </c>
      <c r="R67" s="19" t="n">
        <f aca="false">COUNTIFS('Raw Log'!$F$5:$F$1538,A67,'Raw Log'!$B$5:$B$1538,"Medicine")</f>
        <v>3</v>
      </c>
      <c r="S67" s="11" t="n">
        <f aca="false">IF(N67="","",MOD(N67-0.5,1)*24)</f>
        <v>13.516666666721</v>
      </c>
      <c r="T67" s="18" t="n">
        <f aca="false">IF(O67="","",MOD(O67,1))</f>
        <v>0.39375000000291</v>
      </c>
    </row>
    <row r="68" customFormat="false" ht="15" hidden="false" customHeight="false" outlineLevel="0" collapsed="false">
      <c r="A68" s="26" t="n">
        <v>46311</v>
      </c>
      <c r="B68" s="27" t="n">
        <f aca="false">A68-WEEKDAY(A68,3)</f>
        <v>46307</v>
      </c>
      <c r="C68" s="19" t="s">
        <v>40</v>
      </c>
      <c r="D68" s="19" t="n">
        <f aca="false">COUNTIFS('Raw Log'!$F$5:$F$1538,A68,'Raw Log'!$B$5:$B$1538,"Feed")</f>
        <v>6</v>
      </c>
      <c r="E68" s="19" t="n">
        <f aca="false">COUNTIFS('Raw Log'!$F$5:$F$1538,A68,'Raw Log'!$B$5:$B$1538,"Feed",'Raw Log'!$C$5:$C$1538,"&gt;0")</f>
        <v>6</v>
      </c>
      <c r="F68" s="19" t="n">
        <f aca="false">IF(E68=0,"",SUMIFS('Raw Log'!$C$5:$C$1538,'Raw Log'!$F$5:$F$1538,A68,'Raw Log'!$B$5:$B$1538,"Feed"))</f>
        <v>31</v>
      </c>
      <c r="G68" s="11" t="n">
        <f aca="false">IF(E68=0,"",F68/E68)</f>
        <v>5.16666666666667</v>
      </c>
      <c r="H68" s="19" t="n">
        <f aca="false">IF(K68=J68,"",COUNTIFS('Raw Log'!$F$5:$F$1538,A68,'Raw Log'!$B$5:$B$1538,"Diaper",'Raw Log'!$D$5:$D$1538,"Pee")+COUNTIFS('Raw Log'!$F$5:$F$1538,A68,'Raw Log'!$B$5:$B$1538,"Diaper",'Raw Log'!$D$5:$D$1538,"Both"))</f>
        <v>4</v>
      </c>
      <c r="I68" s="19" t="n">
        <f aca="false">IF(K68=J68,"",COUNTIFS('Raw Log'!$F$5:$F$1538,A68,'Raw Log'!$B$5:$B$1538,"Diaper",'Raw Log'!$D$5:$D$1538,"Poop")+COUNTIFS('Raw Log'!$F$5:$F$1538,A68,'Raw Log'!$B$5:$B$1538,"Diaper",'Raw Log'!$D$5:$D$1538,"Both"))</f>
        <v>1</v>
      </c>
      <c r="J68" s="19" t="n">
        <f aca="false">COUNTIFS('Raw Log'!$F$5:$F$1538,A68,'Raw Log'!$B$5:$B$1538,"Diaper")</f>
        <v>5</v>
      </c>
      <c r="K68" s="19" t="n">
        <f aca="false">J68-COUNTIFS('Raw Log'!$F$5:$F$1538,A68,'Raw Log'!$B$5:$B$1538,"Diaper",'Raw Log'!$D$5:$D$1538,"Pee")-COUNTIFS('Raw Log'!$F$5:$F$1538,A68,'Raw Log'!$B$5:$B$1538,"Diaper",'Raw Log'!$D$5:$D$1538,"Poop")-COUNTIFS('Raw Log'!$F$5:$F$1538,A68,'Raw Log'!$B$5:$B$1538,"Diaper",'Raw Log'!$D$5:$D$1538,"Both")</f>
        <v>0</v>
      </c>
      <c r="L68" s="19" t="n">
        <f aca="false">COUNTIFS('Sleep Detail'!$A$5:$A$285,A68,'Sleep Detail'!$B$5:$B$285,"Nap")</f>
        <v>3</v>
      </c>
      <c r="M68" s="11" t="n">
        <f aca="false">SUMIFS('Sleep Detail'!$E$5:$E$285,'Sleep Detail'!$A$5:$A$285,A68,'Sleep Detail'!$B$5:$B$285,"Nap")</f>
        <v>2.15</v>
      </c>
      <c r="N68" s="18" t="n">
        <f aca="false">IF(COUNTIFS('Sleep Detail'!$A$5:$A$285,A68,'Sleep Detail'!$B$5:$B$285,"Night")=0,"",_xlfn.MINIFS('Sleep Detail'!$C$5:$C$285,'Sleep Detail'!$A$5:$A$285,A68,'Sleep Detail'!$B$5:$B$285,"Night"))</f>
        <v>46312.0611111111</v>
      </c>
      <c r="O68" s="18" t="n">
        <f aca="false">IF(COUNTIFS('Sleep Detail'!$A$5:$A$285,A68,'Sleep Detail'!$B$5:$B$285,"Night")=0,"",_xlfn.MAXIFS('Sleep Detail'!$D$5:$D$285,'Sleep Detail'!$A$5:$A$285,A68,'Sleep Detail'!$B$5:$B$285,"Night"))</f>
        <v>46312.3819444445</v>
      </c>
      <c r="P68" s="11" t="n">
        <f aca="false">IF(COUNTIFS('Sleep Detail'!$A$5:$A$285,A68,'Sleep Detail'!$B$5:$B$285,"Night")=0,"",SUMIFS('Sleep Detail'!$E$5:$E$285,'Sleep Detail'!$A$5:$A$285,A68,'Sleep Detail'!$B$5:$B$285,"Night"))</f>
        <v>7.7000000003025</v>
      </c>
      <c r="Q68" s="11" t="n">
        <f aca="false">IF(P68="","",M68+P68)</f>
        <v>9.8500000003025</v>
      </c>
      <c r="R68" s="19" t="n">
        <f aca="false">COUNTIFS('Raw Log'!$F$5:$F$1538,A68,'Raw Log'!$B$5:$B$1538,"Medicine")</f>
        <v>3</v>
      </c>
      <c r="S68" s="11" t="n">
        <f aca="false">IF(N68="","",MOD(N68-0.5,1)*24)</f>
        <v>13.4666666667326</v>
      </c>
      <c r="T68" s="18" t="n">
        <f aca="false">IF(O68="","",MOD(O68,1))</f>
        <v>0.381944444452529</v>
      </c>
    </row>
    <row r="69" customFormat="false" ht="15" hidden="false" customHeight="false" outlineLevel="0" collapsed="false">
      <c r="A69" s="26" t="n">
        <v>46312</v>
      </c>
      <c r="B69" s="27" t="n">
        <f aca="false">A69-WEEKDAY(A69,3)</f>
        <v>46307</v>
      </c>
      <c r="C69" s="19" t="s">
        <v>40</v>
      </c>
      <c r="D69" s="19" t="n">
        <f aca="false">COUNTIFS('Raw Log'!$F$5:$F$1538,A69,'Raw Log'!$B$5:$B$1538,"Feed")</f>
        <v>5</v>
      </c>
      <c r="E69" s="19" t="n">
        <f aca="false">COUNTIFS('Raw Log'!$F$5:$F$1538,A69,'Raw Log'!$B$5:$B$1538,"Feed",'Raw Log'!$C$5:$C$1538,"&gt;0")</f>
        <v>5</v>
      </c>
      <c r="F69" s="19" t="n">
        <f aca="false">IF(E69=0,"",SUMIFS('Raw Log'!$C$5:$C$1538,'Raw Log'!$F$5:$F$1538,A69,'Raw Log'!$B$5:$B$1538,"Feed"))</f>
        <v>26</v>
      </c>
      <c r="G69" s="11" t="n">
        <f aca="false">IF(E69=0,"",F69/E69)</f>
        <v>5.2</v>
      </c>
      <c r="H69" s="19" t="n">
        <f aca="false">IF(K69=J69,"",COUNTIFS('Raw Log'!$F$5:$F$1538,A69,'Raw Log'!$B$5:$B$1538,"Diaper",'Raw Log'!$D$5:$D$1538,"Pee")+COUNTIFS('Raw Log'!$F$5:$F$1538,A69,'Raw Log'!$B$5:$B$1538,"Diaper",'Raw Log'!$D$5:$D$1538,"Both"))</f>
        <v>4</v>
      </c>
      <c r="I69" s="19" t="n">
        <f aca="false">IF(K69=J69,"",COUNTIFS('Raw Log'!$F$5:$F$1538,A69,'Raw Log'!$B$5:$B$1538,"Diaper",'Raw Log'!$D$5:$D$1538,"Poop")+COUNTIFS('Raw Log'!$F$5:$F$1538,A69,'Raw Log'!$B$5:$B$1538,"Diaper",'Raw Log'!$D$5:$D$1538,"Both"))</f>
        <v>3</v>
      </c>
      <c r="J69" s="19" t="n">
        <f aca="false">COUNTIFS('Raw Log'!$F$5:$F$1538,A69,'Raw Log'!$B$5:$B$1538,"Diaper")</f>
        <v>6</v>
      </c>
      <c r="K69" s="19" t="n">
        <f aca="false">J69-COUNTIFS('Raw Log'!$F$5:$F$1538,A69,'Raw Log'!$B$5:$B$1538,"Diaper",'Raw Log'!$D$5:$D$1538,"Pee")-COUNTIFS('Raw Log'!$F$5:$F$1538,A69,'Raw Log'!$B$5:$B$1538,"Diaper",'Raw Log'!$D$5:$D$1538,"Poop")-COUNTIFS('Raw Log'!$F$5:$F$1538,A69,'Raw Log'!$B$5:$B$1538,"Diaper",'Raw Log'!$D$5:$D$1538,"Both")</f>
        <v>0</v>
      </c>
      <c r="L69" s="19" t="n">
        <f aca="false">COUNTIFS('Sleep Detail'!$A$5:$A$285,A69,'Sleep Detail'!$B$5:$B$285,"Nap")</f>
        <v>4</v>
      </c>
      <c r="M69" s="11" t="n">
        <f aca="false">SUMIFS('Sleep Detail'!$E$5:$E$285,'Sleep Detail'!$A$5:$A$285,A69,'Sleep Detail'!$B$5:$B$285,"Nap")</f>
        <v>2.79999999957694</v>
      </c>
      <c r="N69" s="18" t="n">
        <f aca="false">IF(COUNTIFS('Sleep Detail'!$A$5:$A$285,A69,'Sleep Detail'!$B$5:$B$285,"Night")=0,"",_xlfn.MINIFS('Sleep Detail'!$C$5:$C$285,'Sleep Detail'!$A$5:$A$285,A69,'Sleep Detail'!$B$5:$B$285,"Night"))</f>
        <v>46313.0152777778</v>
      </c>
      <c r="O69" s="18" t="n">
        <f aca="false">IF(COUNTIFS('Sleep Detail'!$A$5:$A$285,A69,'Sleep Detail'!$B$5:$B$285,"Night")=0,"",_xlfn.MAXIFS('Sleep Detail'!$D$5:$D$285,'Sleep Detail'!$A$5:$A$285,A69,'Sleep Detail'!$B$5:$B$285,"Night"))</f>
        <v>46313.3055555556</v>
      </c>
      <c r="P69" s="11" t="n">
        <f aca="false">IF(COUNTIFS('Sleep Detail'!$A$5:$A$285,A69,'Sleep Detail'!$B$5:$B$285,"Night")=0,"",SUMIFS('Sleep Detail'!$E$5:$E$285,'Sleep Detail'!$A$5:$A$285,A69,'Sleep Detail'!$B$5:$B$285,"Night"))</f>
        <v>6.96666666666667</v>
      </c>
      <c r="Q69" s="11" t="n">
        <f aca="false">IF(P69="","",M69+P69)</f>
        <v>9.76666666624361</v>
      </c>
      <c r="R69" s="19" t="n">
        <f aca="false">COUNTIFS('Raw Log'!$F$5:$F$1538,A69,'Raw Log'!$B$5:$B$1538,"Medicine")</f>
        <v>3</v>
      </c>
      <c r="S69" s="11" t="n">
        <f aca="false">IF(N69="","",MOD(N69-0.5,1)*24)</f>
        <v>12.3666666666395</v>
      </c>
      <c r="T69" s="18" t="n">
        <f aca="false">IF(O69="","",MOD(O69,1))</f>
        <v>0.305555555547471</v>
      </c>
    </row>
    <row r="70" customFormat="false" ht="15" hidden="false" customHeight="false" outlineLevel="0" collapsed="false">
      <c r="A70" s="21" t="n">
        <v>46313</v>
      </c>
      <c r="B70" s="22" t="n">
        <f aca="false">A70-WEEKDAY(A70,3)</f>
        <v>46307</v>
      </c>
      <c r="C70" s="23" t="s">
        <v>39</v>
      </c>
      <c r="D70" s="23" t="n">
        <f aca="false">COUNTIFS('Raw Log'!$F$5:$F$1538,A70,'Raw Log'!$B$5:$B$1538,"Feed")</f>
        <v>3</v>
      </c>
      <c r="E70" s="23" t="n">
        <f aca="false">COUNTIFS('Raw Log'!$F$5:$F$1538,A70,'Raw Log'!$B$5:$B$1538,"Feed",'Raw Log'!$C$5:$C$1538,"&gt;0")</f>
        <v>3</v>
      </c>
      <c r="F70" s="23" t="n">
        <f aca="false">IF(E70=0,"",SUMIFS('Raw Log'!$C$5:$C$1538,'Raw Log'!$F$5:$F$1538,A70,'Raw Log'!$B$5:$B$1538,"Feed"))</f>
        <v>16</v>
      </c>
      <c r="G70" s="24" t="n">
        <f aca="false">IF(E70=0,"",F70/E70)</f>
        <v>5.33333333333333</v>
      </c>
      <c r="H70" s="23" t="n">
        <f aca="false">IF(K70=J70,"",COUNTIFS('Raw Log'!$F$5:$F$1538,A70,'Raw Log'!$B$5:$B$1538,"Diaper",'Raw Log'!$D$5:$D$1538,"Pee")+COUNTIFS('Raw Log'!$F$5:$F$1538,A70,'Raw Log'!$B$5:$B$1538,"Diaper",'Raw Log'!$D$5:$D$1538,"Both"))</f>
        <v>3</v>
      </c>
      <c r="I70" s="23" t="n">
        <f aca="false">IF(K70=J70,"",COUNTIFS('Raw Log'!$F$5:$F$1538,A70,'Raw Log'!$B$5:$B$1538,"Diaper",'Raw Log'!$D$5:$D$1538,"Poop")+COUNTIFS('Raw Log'!$F$5:$F$1538,A70,'Raw Log'!$B$5:$B$1538,"Diaper",'Raw Log'!$D$5:$D$1538,"Both"))</f>
        <v>0</v>
      </c>
      <c r="J70" s="23" t="n">
        <f aca="false">COUNTIFS('Raw Log'!$F$5:$F$1538,A70,'Raw Log'!$B$5:$B$1538,"Diaper")</f>
        <v>3</v>
      </c>
      <c r="K70" s="23" t="n">
        <f aca="false">J70-COUNTIFS('Raw Log'!$F$5:$F$1538,A70,'Raw Log'!$B$5:$B$1538,"Diaper",'Raw Log'!$D$5:$D$1538,"Pee")-COUNTIFS('Raw Log'!$F$5:$F$1538,A70,'Raw Log'!$B$5:$B$1538,"Diaper",'Raw Log'!$D$5:$D$1538,"Poop")-COUNTIFS('Raw Log'!$F$5:$F$1538,A70,'Raw Log'!$B$5:$B$1538,"Diaper",'Raw Log'!$D$5:$D$1538,"Both")</f>
        <v>0</v>
      </c>
      <c r="L70" s="23" t="n">
        <f aca="false">COUNTIFS('Sleep Detail'!$A$5:$A$285,A70,'Sleep Detail'!$B$5:$B$285,"Nap")</f>
        <v>3</v>
      </c>
      <c r="M70" s="24" t="n">
        <f aca="false">SUMIFS('Sleep Detail'!$E$5:$E$285,'Sleep Detail'!$A$5:$A$285,A70,'Sleep Detail'!$B$5:$B$285,"Nap")</f>
        <v>2.21666666666667</v>
      </c>
      <c r="N70" s="25" t="str">
        <f aca="false">IF(COUNTIFS('Sleep Detail'!$A$5:$A$285,A70,'Sleep Detail'!$B$5:$B$285,"Night")=0,"",_xlfn.MINIFS('Sleep Detail'!$C$5:$C$285,'Sleep Detail'!$A$5:$A$285,A70,'Sleep Detail'!$B$5:$B$285,"Night"))</f>
        <v/>
      </c>
      <c r="O70" s="25" t="str">
        <f aca="false">IF(COUNTIFS('Sleep Detail'!$A$5:$A$285,A70,'Sleep Detail'!$B$5:$B$285,"Night")=0,"",_xlfn.MAXIFS('Sleep Detail'!$D$5:$D$285,'Sleep Detail'!$A$5:$A$285,A70,'Sleep Detail'!$B$5:$B$285,"Night"))</f>
        <v/>
      </c>
      <c r="P70" s="24" t="str">
        <f aca="false">IF(COUNTIFS('Sleep Detail'!$A$5:$A$285,A70,'Sleep Detail'!$B$5:$B$285,"Night")=0,"",SUMIFS('Sleep Detail'!$E$5:$E$285,'Sleep Detail'!$A$5:$A$285,A70,'Sleep Detail'!$B$5:$B$285,"Night"))</f>
        <v/>
      </c>
      <c r="Q70" s="24" t="str">
        <f aca="false">IF(P70="","",M70+P70)</f>
        <v/>
      </c>
      <c r="R70" s="23" t="n">
        <f aca="false">COUNTIFS('Raw Log'!$F$5:$F$1538,A70,'Raw Log'!$B$5:$B$1538,"Medicine")</f>
        <v>2</v>
      </c>
      <c r="S70" s="24" t="str">
        <f aca="false">IF(N70="","",MOD(N70-0.5,1)*24)</f>
        <v/>
      </c>
      <c r="T70" s="25" t="str">
        <f aca="false">IF(O70="","",MOD(O70,1))</f>
        <v/>
      </c>
    </row>
  </sheetData>
  <autoFilter ref="A4:R7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8"/>
    <col collapsed="false" customWidth="true" hidden="false" outlineLevel="0" max="7" min="6" style="0" width="9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true" outlineLevel="0" max="16" min="16" style="0" width="13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3" t="s">
        <v>42</v>
      </c>
    </row>
    <row r="4" customFormat="false" ht="31.5" hidden="false" customHeight="true" outlineLevel="0" collapsed="false">
      <c r="A4" s="10" t="s">
        <v>27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customFormat="false" ht="15" hidden="false" customHeight="false" outlineLevel="0" collapsed="false">
      <c r="A5" s="27" t="n">
        <v>46244</v>
      </c>
      <c r="B5" s="19" t="n">
        <f aca="false">COUNTIFS('Daily Summary'!$B$5:$B$70,A5,'Daily Summary'!$C$5:$C$70,"Yes")</f>
        <v>2</v>
      </c>
      <c r="C5" s="11" t="n">
        <f aca="false">IFERROR(AVERAGEIFS('Daily Summary'!$D$5:$D$70,'Daily Summary'!$B$5:$B$70,$A5,'Daily Summary'!$C$5:$C$70,"Yes"),"")</f>
        <v>6</v>
      </c>
      <c r="D5" s="11" t="str">
        <f aca="false">IFERROR(AVERAGEIFS('Daily Summary'!$F$5:$F$70,'Daily Summary'!$B$5:$B$70,$A5,'Daily Summary'!$C$5:$C$70,"Yes"),"")</f>
        <v/>
      </c>
      <c r="E5" s="11" t="str">
        <f aca="false">IFERROR(SUMIFS('Daily Summary'!$F$5:$F$70,'Daily Summary'!$B$5:$B$70,$A5,'Daily Summary'!$C$5:$C$70,"Yes")/SUMIFS('Daily Summary'!$E$5:$E$70,'Daily Summary'!$B$5:$B$70,$A5,'Daily Summary'!$C$5:$C$70,"Yes"),"")</f>
        <v/>
      </c>
      <c r="F5" s="11" t="str">
        <f aca="false">IFERROR(AVERAGEIFS('Daily Summary'!$H$5:$H$70,'Daily Summary'!$B$5:$B$70,$A5,'Daily Summary'!$C$5:$C$70,"Yes"),"")</f>
        <v/>
      </c>
      <c r="G5" s="11" t="str">
        <f aca="false">IFERROR(AVERAGEIFS('Daily Summary'!$I$5:$I$70,'Daily Summary'!$B$5:$B$70,$A5,'Daily Summary'!$C$5:$C$70,"Yes"),"")</f>
        <v/>
      </c>
      <c r="H5" s="11" t="n">
        <f aca="false">IFERROR(AVERAGEIFS('Daily Summary'!$L$5:$L$70,'Daily Summary'!$B$5:$B$70,$A5,'Daily Summary'!$C$5:$C$70,"Yes"),"")</f>
        <v>3.5</v>
      </c>
      <c r="I5" s="11" t="n">
        <f aca="false">IFERROR(AVERAGEIFS('Daily Summary'!$M$5:$M$70,'Daily Summary'!$B$5:$B$70,$A5,'Daily Summary'!$C$5:$C$70,"Yes"),"")</f>
        <v>3.025</v>
      </c>
      <c r="J5" s="11" t="n">
        <f aca="false">IFERROR(AVERAGEIFS('Daily Summary'!$P$5:$P$70,'Daily Summary'!$B$5:$B$70,$A5,'Daily Summary'!$C$5:$C$70,"Yes"),"")</f>
        <v>6.16666666666667</v>
      </c>
      <c r="K5" s="11" t="n">
        <f aca="false">IFERROR(AVERAGEIFS('Daily Summary'!$Q$5:$Q$70,'Daily Summary'!$B$5:$B$70,$A5,'Daily Summary'!$C$5:$C$70,"Yes"),"")</f>
        <v>9.19166666666667</v>
      </c>
      <c r="L5" s="18" t="n">
        <f aca="false">IFERROR(MOD(AVERAGEIFS('Daily Summary'!$S$5:$S$70,'Daily Summary'!$B$5:$B$70,$A5,'Daily Summary'!$C$5:$C$70,"Yes")/24+0.5,1),"")</f>
        <v>0.0371527777788288</v>
      </c>
      <c r="M5" s="18" t="n">
        <f aca="false">IFERROR(AVERAGEIFS('Daily Summary'!$T$5:$T$70,'Daily Summary'!$B$5:$B$70,$A5,'Daily Summary'!$C$5:$C$70,"Yes"),"")</f>
        <v>0.29409722222772</v>
      </c>
      <c r="N5" s="12" t="str">
        <f aca="false">""</f>
        <v/>
      </c>
      <c r="O5" s="12" t="str">
        <f aca="false">""</f>
        <v/>
      </c>
      <c r="P5" s="28" t="s">
        <v>57</v>
      </c>
    </row>
    <row r="6" customFormat="false" ht="15" hidden="false" customHeight="false" outlineLevel="0" collapsed="false">
      <c r="A6" s="29" t="n">
        <v>46251</v>
      </c>
      <c r="B6" s="17" t="n">
        <f aca="false">COUNTIFS('Daily Summary'!$B$5:$B$70,A6,'Daily Summary'!$C$5:$C$70,"Yes")</f>
        <v>7</v>
      </c>
      <c r="C6" s="14" t="n">
        <f aca="false">IFERROR(AVERAGEIFS('Daily Summary'!$D$5:$D$70,'Daily Summary'!$B$5:$B$70,$A6,'Daily Summary'!$C$5:$C$70,"Yes"),"")</f>
        <v>5.85714285714286</v>
      </c>
      <c r="D6" s="14" t="str">
        <f aca="false">IFERROR(AVERAGEIFS('Daily Summary'!$F$5:$F$70,'Daily Summary'!$B$5:$B$70,$A6,'Daily Summary'!$C$5:$C$70,"Yes"),"")</f>
        <v/>
      </c>
      <c r="E6" s="14" t="str">
        <f aca="false">IFERROR(SUMIFS('Daily Summary'!$F$5:$F$70,'Daily Summary'!$B$5:$B$70,$A6,'Daily Summary'!$C$5:$C$70,"Yes")/SUMIFS('Daily Summary'!$E$5:$E$70,'Daily Summary'!$B$5:$B$70,$A6,'Daily Summary'!$C$5:$C$70,"Yes"),"")</f>
        <v/>
      </c>
      <c r="F6" s="14" t="str">
        <f aca="false">IFERROR(AVERAGEIFS('Daily Summary'!$H$5:$H$70,'Daily Summary'!$B$5:$B$70,$A6,'Daily Summary'!$C$5:$C$70,"Yes"),"")</f>
        <v/>
      </c>
      <c r="G6" s="14" t="str">
        <f aca="false">IFERROR(AVERAGEIFS('Daily Summary'!$I$5:$I$70,'Daily Summary'!$B$5:$B$70,$A6,'Daily Summary'!$C$5:$C$70,"Yes"),"")</f>
        <v/>
      </c>
      <c r="H6" s="14" t="n">
        <f aca="false">IFERROR(AVERAGEIFS('Daily Summary'!$L$5:$L$70,'Daily Summary'!$B$5:$B$70,$A6,'Daily Summary'!$C$5:$C$70,"Yes"),"")</f>
        <v>3.57142857142857</v>
      </c>
      <c r="I6" s="14" t="n">
        <f aca="false">IFERROR(AVERAGEIFS('Daily Summary'!$M$5:$M$70,'Daily Summary'!$B$5:$B$70,$A6,'Daily Summary'!$C$5:$C$70,"Yes"),"")</f>
        <v>2.58571428569706</v>
      </c>
      <c r="J6" s="14" t="n">
        <f aca="false">IFERROR(AVERAGEIFS('Daily Summary'!$P$5:$P$70,'Daily Summary'!$B$5:$B$70,$A6,'Daily Summary'!$C$5:$C$70,"Yes"),"")</f>
        <v>6.68666666672406</v>
      </c>
      <c r="K6" s="14" t="n">
        <f aca="false">IFERROR(AVERAGEIFS('Daily Summary'!$Q$5:$Q$70,'Daily Summary'!$B$5:$B$70,$A6,'Daily Summary'!$C$5:$C$70,"Yes"),"")</f>
        <v>8.71000000003328</v>
      </c>
      <c r="L6" s="16" t="n">
        <f aca="false">IFERROR(MOD(AVERAGEIFS('Daily Summary'!$S$5:$S$70,'Daily Summary'!$B$5:$B$70,$A6,'Daily Summary'!$C$5:$C$70,"Yes")/24+0.5,1),"")</f>
        <v>0.0305555555547472</v>
      </c>
      <c r="M6" s="16" t="n">
        <f aca="false">IFERROR(AVERAGEIFS('Daily Summary'!$T$5:$T$70,'Daily Summary'!$B$5:$B$70,$A6,'Daily Summary'!$C$5:$C$70,"Yes"),"")</f>
        <v>0.309166666671808</v>
      </c>
      <c r="N6" s="15" t="str">
        <f aca="false">IF(OR(D6="",D5=""),"",D6-D5)</f>
        <v/>
      </c>
      <c r="O6" s="15" t="n">
        <f aca="false">IF(OR(K6="",K5=""),"",K6-K5)</f>
        <v>-0.481666666633387</v>
      </c>
      <c r="P6" s="28" t="s">
        <v>58</v>
      </c>
    </row>
    <row r="7" customFormat="false" ht="15" hidden="false" customHeight="false" outlineLevel="0" collapsed="false">
      <c r="A7" s="27" t="n">
        <v>46258</v>
      </c>
      <c r="B7" s="19" t="n">
        <f aca="false">COUNTIFS('Daily Summary'!$B$5:$B$70,A7,'Daily Summary'!$C$5:$C$70,"Yes")</f>
        <v>7</v>
      </c>
      <c r="C7" s="11" t="n">
        <f aca="false">IFERROR(AVERAGEIFS('Daily Summary'!$D$5:$D$70,'Daily Summary'!$B$5:$B$70,$A7,'Daily Summary'!$C$5:$C$70,"Yes"),"")</f>
        <v>6</v>
      </c>
      <c r="D7" s="11" t="n">
        <f aca="false">IFERROR(AVERAGEIFS('Daily Summary'!$F$5:$F$70,'Daily Summary'!$B$5:$B$70,$A7,'Daily Summary'!$C$5:$C$70,"Yes"),"")</f>
        <v>20.5714285714286</v>
      </c>
      <c r="E7" s="11" t="n">
        <f aca="false">IFERROR(SUMIFS('Daily Summary'!$F$5:$F$70,'Daily Summary'!$B$5:$B$70,$A7,'Daily Summary'!$C$5:$C$70,"Yes")/SUMIFS('Daily Summary'!$E$5:$E$70,'Daily Summary'!$B$5:$B$70,$A7,'Daily Summary'!$C$5:$C$70,"Yes"),"")</f>
        <v>4</v>
      </c>
      <c r="F7" s="11" t="n">
        <f aca="false">IFERROR(AVERAGEIFS('Daily Summary'!$H$5:$H$70,'Daily Summary'!$B$5:$B$70,$A7,'Daily Summary'!$C$5:$C$70,"Yes"),"")</f>
        <v>3.85714285714286</v>
      </c>
      <c r="G7" s="11" t="n">
        <f aca="false">IFERROR(AVERAGEIFS('Daily Summary'!$I$5:$I$70,'Daily Summary'!$B$5:$B$70,$A7,'Daily Summary'!$C$5:$C$70,"Yes"),"")</f>
        <v>0.857142857142857</v>
      </c>
      <c r="H7" s="11" t="n">
        <f aca="false">IFERROR(AVERAGEIFS('Daily Summary'!$L$5:$L$70,'Daily Summary'!$B$5:$B$70,$A7,'Daily Summary'!$C$5:$C$70,"Yes"),"")</f>
        <v>3.57142857142857</v>
      </c>
      <c r="I7" s="11" t="n">
        <f aca="false">IFERROR(AVERAGEIFS('Daily Summary'!$M$5:$M$70,'Daily Summary'!$B$5:$B$70,$A7,'Daily Summary'!$C$5:$C$70,"Yes"),"")</f>
        <v>3.02857142855421</v>
      </c>
      <c r="J7" s="11" t="n">
        <f aca="false">IFERROR(AVERAGEIFS('Daily Summary'!$P$5:$P$70,'Daily Summary'!$B$5:$B$70,$A7,'Daily Summary'!$C$5:$C$70,"Yes"),"")</f>
        <v>6.67857142857143</v>
      </c>
      <c r="K7" s="11" t="n">
        <f aca="false">IFERROR(AVERAGEIFS('Daily Summary'!$Q$5:$Q$70,'Daily Summary'!$B$5:$B$70,$A7,'Daily Summary'!$C$5:$C$70,"Yes"),"")</f>
        <v>9.70714285712564</v>
      </c>
      <c r="L7" s="18" t="n">
        <f aca="false">IFERROR(MOD(AVERAGEIFS('Daily Summary'!$S$5:$S$70,'Daily Summary'!$B$5:$B$70,$A7,'Daily Summary'!$C$5:$C$70,"Yes")/24+0.5,1),"")</f>
        <v>0.0542658730160577</v>
      </c>
      <c r="M7" s="18" t="n">
        <f aca="false">IFERROR(AVERAGEIFS('Daily Summary'!$T$5:$T$70,'Daily Summary'!$B$5:$B$70,$A7,'Daily Summary'!$C$5:$C$70,"Yes"),"")</f>
        <v>0.2818452380951</v>
      </c>
      <c r="N7" s="12" t="str">
        <f aca="false">IF(OR(D7="",D6=""),"",D7-D6)</f>
        <v/>
      </c>
      <c r="O7" s="12" t="n">
        <f aca="false">IF(OR(K7="",K6=""),"",K7-K6)</f>
        <v>0.997142857092356</v>
      </c>
      <c r="P7" s="28" t="s">
        <v>59</v>
      </c>
    </row>
    <row r="8" customFormat="false" ht="15" hidden="false" customHeight="false" outlineLevel="0" collapsed="false">
      <c r="A8" s="29" t="n">
        <v>46265</v>
      </c>
      <c r="B8" s="17" t="n">
        <f aca="false">COUNTIFS('Daily Summary'!$B$5:$B$70,A8,'Daily Summary'!$C$5:$C$70,"Yes")</f>
        <v>7</v>
      </c>
      <c r="C8" s="14" t="n">
        <f aca="false">IFERROR(AVERAGEIFS('Daily Summary'!$D$5:$D$70,'Daily Summary'!$B$5:$B$70,$A8,'Daily Summary'!$C$5:$C$70,"Yes"),"")</f>
        <v>6.28571428571429</v>
      </c>
      <c r="D8" s="14" t="n">
        <f aca="false">IFERROR(AVERAGEIFS('Daily Summary'!$F$5:$F$70,'Daily Summary'!$B$5:$B$70,$A8,'Daily Summary'!$C$5:$C$70,"Yes"),"")</f>
        <v>25.1428571428571</v>
      </c>
      <c r="E8" s="14" t="n">
        <f aca="false">IFERROR(SUMIFS('Daily Summary'!$F$5:$F$70,'Daily Summary'!$B$5:$B$70,$A8,'Daily Summary'!$C$5:$C$70,"Yes")/SUMIFS('Daily Summary'!$E$5:$E$70,'Daily Summary'!$B$5:$B$70,$A8,'Daily Summary'!$C$5:$C$70,"Yes"),"")</f>
        <v>4</v>
      </c>
      <c r="F8" s="14" t="n">
        <f aca="false">IFERROR(AVERAGEIFS('Daily Summary'!$H$5:$H$70,'Daily Summary'!$B$5:$B$70,$A8,'Daily Summary'!$C$5:$C$70,"Yes"),"")</f>
        <v>4.42857142857143</v>
      </c>
      <c r="G8" s="14" t="n">
        <f aca="false">IFERROR(AVERAGEIFS('Daily Summary'!$I$5:$I$70,'Daily Summary'!$B$5:$B$70,$A8,'Daily Summary'!$C$5:$C$70,"Yes"),"")</f>
        <v>1.57142857142857</v>
      </c>
      <c r="H8" s="14" t="n">
        <f aca="false">IFERROR(AVERAGEIFS('Daily Summary'!$L$5:$L$70,'Daily Summary'!$B$5:$B$70,$A8,'Daily Summary'!$C$5:$C$70,"Yes"),"")</f>
        <v>3.14285714285714</v>
      </c>
      <c r="I8" s="14" t="n">
        <f aca="false">IFERROR(AVERAGEIFS('Daily Summary'!$M$5:$M$70,'Daily Summary'!$B$5:$B$70,$A8,'Daily Summary'!$C$5:$C$70,"Yes"),"")</f>
        <v>2.35238095237591</v>
      </c>
      <c r="J8" s="14" t="n">
        <f aca="false">IFERROR(AVERAGEIFS('Daily Summary'!$P$5:$P$70,'Daily Summary'!$B$5:$B$70,$A8,'Daily Summary'!$C$5:$C$70,"Yes"),"")</f>
        <v>7.65238095231441</v>
      </c>
      <c r="K8" s="14" t="n">
        <f aca="false">IFERROR(AVERAGEIFS('Daily Summary'!$Q$5:$Q$70,'Daily Summary'!$B$5:$B$70,$A8,'Daily Summary'!$C$5:$C$70,"Yes"),"")</f>
        <v>10.0047619046903</v>
      </c>
      <c r="L8" s="16" t="n">
        <f aca="false">IFERROR(MOD(AVERAGEIFS('Daily Summary'!$S$5:$S$70,'Daily Summary'!$B$5:$B$70,$A8,'Daily Summary'!$C$5:$C$70,"Yes")/24+0.5,1),"")</f>
        <v>0.0332341269843579</v>
      </c>
      <c r="M8" s="16" t="n">
        <f aca="false">IFERROR(AVERAGEIFS('Daily Summary'!$T$5:$T$70,'Daily Summary'!$B$5:$B$70,$A8,'Daily Summary'!$C$5:$C$70,"Yes"),"")</f>
        <v>0.352083333332433</v>
      </c>
      <c r="N8" s="15" t="n">
        <f aca="false">IF(OR(D8="",D7=""),"",D8-D7)</f>
        <v>4.57142857142857</v>
      </c>
      <c r="O8" s="15" t="n">
        <f aca="false">IF(OR(K8="",K7=""),"",K8-K7)</f>
        <v>0.297619047564682</v>
      </c>
      <c r="P8" s="28" t="s">
        <v>60</v>
      </c>
    </row>
    <row r="9" customFormat="false" ht="15" hidden="false" customHeight="false" outlineLevel="0" collapsed="false">
      <c r="A9" s="27" t="n">
        <v>46272</v>
      </c>
      <c r="B9" s="19" t="n">
        <f aca="false">COUNTIFS('Daily Summary'!$B$5:$B$70,A9,'Daily Summary'!$C$5:$C$70,"Yes")</f>
        <v>7</v>
      </c>
      <c r="C9" s="11" t="n">
        <f aca="false">IFERROR(AVERAGEIFS('Daily Summary'!$D$5:$D$70,'Daily Summary'!$B$5:$B$70,$A9,'Daily Summary'!$C$5:$C$70,"Yes"),"")</f>
        <v>6.14285714285714</v>
      </c>
      <c r="D9" s="11" t="n">
        <f aca="false">IFERROR(AVERAGEIFS('Daily Summary'!$F$5:$F$70,'Daily Summary'!$B$5:$B$70,$A9,'Daily Summary'!$C$5:$C$70,"Yes"),"")</f>
        <v>27.7142857142857</v>
      </c>
      <c r="E9" s="11" t="n">
        <f aca="false">IFERROR(SUMIFS('Daily Summary'!$F$5:$F$70,'Daily Summary'!$B$5:$B$70,$A9,'Daily Summary'!$C$5:$C$70,"Yes")/SUMIFS('Daily Summary'!$E$5:$E$70,'Daily Summary'!$B$5:$B$70,$A9,'Daily Summary'!$C$5:$C$70,"Yes"),"")</f>
        <v>4.51162790697674</v>
      </c>
      <c r="F9" s="11" t="n">
        <f aca="false">IFERROR(AVERAGEIFS('Daily Summary'!$H$5:$H$70,'Daily Summary'!$B$5:$B$70,$A9,'Daily Summary'!$C$5:$C$70,"Yes"),"")</f>
        <v>5</v>
      </c>
      <c r="G9" s="11" t="n">
        <f aca="false">IFERROR(AVERAGEIFS('Daily Summary'!$I$5:$I$70,'Daily Summary'!$B$5:$B$70,$A9,'Daily Summary'!$C$5:$C$70,"Yes"),"")</f>
        <v>1.71428571428571</v>
      </c>
      <c r="H9" s="11" t="n">
        <f aca="false">IFERROR(AVERAGEIFS('Daily Summary'!$L$5:$L$70,'Daily Summary'!$B$5:$B$70,$A9,'Daily Summary'!$C$5:$C$70,"Yes"),"")</f>
        <v>2.71428571428571</v>
      </c>
      <c r="I9" s="11" t="n">
        <f aca="false">IFERROR(AVERAGEIFS('Daily Summary'!$M$5:$M$70,'Daily Summary'!$B$5:$B$70,$A9,'Daily Summary'!$C$5:$C$70,"Yes"),"")</f>
        <v>3.26428571424135</v>
      </c>
      <c r="J9" s="11" t="n">
        <f aca="false">IFERROR(AVERAGEIFS('Daily Summary'!$P$5:$P$70,'Daily Summary'!$B$5:$B$70,$A9,'Daily Summary'!$C$5:$C$70,"Yes"),"")</f>
        <v>6.72380952379286</v>
      </c>
      <c r="K9" s="11" t="n">
        <f aca="false">IFERROR(AVERAGEIFS('Daily Summary'!$Q$5:$Q$70,'Daily Summary'!$B$5:$B$70,$A9,'Daily Summary'!$C$5:$C$70,"Yes"),"")</f>
        <v>9.98809523803421</v>
      </c>
      <c r="L9" s="18" t="n">
        <f aca="false">IFERROR(MOD(AVERAGEIFS('Daily Summary'!$S$5:$S$70,'Daily Summary'!$B$5:$B$70,$A9,'Daily Summary'!$C$5:$C$70,"Yes")/24+0.5,1),"")</f>
        <v>0.0315476190465103</v>
      </c>
      <c r="M9" s="18" t="n">
        <f aca="false">IFERROR(AVERAGEIFS('Daily Summary'!$T$5:$T$70,'Daily Summary'!$B$5:$B$70,$A9,'Daily Summary'!$C$5:$C$70,"Yes"),"")</f>
        <v>0.311706349203762</v>
      </c>
      <c r="N9" s="12" t="n">
        <f aca="false">IF(OR(D9="",D8=""),"",D9-D8)</f>
        <v>2.57142857142857</v>
      </c>
      <c r="O9" s="12" t="n">
        <f aca="false">IF(OR(K9="",K8=""),"",K9-K8)</f>
        <v>-0.0166666666561106</v>
      </c>
      <c r="P9" s="28" t="s">
        <v>61</v>
      </c>
    </row>
    <row r="10" customFormat="false" ht="15" hidden="false" customHeight="false" outlineLevel="0" collapsed="false">
      <c r="A10" s="29" t="n">
        <v>46279</v>
      </c>
      <c r="B10" s="17" t="n">
        <f aca="false">COUNTIFS('Daily Summary'!$B$5:$B$70,A10,'Daily Summary'!$C$5:$C$70,"Yes")</f>
        <v>7</v>
      </c>
      <c r="C10" s="14" t="n">
        <f aca="false">IFERROR(AVERAGEIFS('Daily Summary'!$D$5:$D$70,'Daily Summary'!$B$5:$B$70,$A10,'Daily Summary'!$C$5:$C$70,"Yes"),"")</f>
        <v>5.85714285714286</v>
      </c>
      <c r="D10" s="14" t="n">
        <f aca="false">IFERROR(AVERAGEIFS('Daily Summary'!$F$5:$F$70,'Daily Summary'!$B$5:$B$70,$A10,'Daily Summary'!$C$5:$C$70,"Yes"),"")</f>
        <v>29.7142857142857</v>
      </c>
      <c r="E10" s="14" t="n">
        <f aca="false">IFERROR(SUMIFS('Daily Summary'!$F$5:$F$70,'Daily Summary'!$B$5:$B$70,$A10,'Daily Summary'!$C$5:$C$70,"Yes")/SUMIFS('Daily Summary'!$E$5:$E$70,'Daily Summary'!$B$5:$B$70,$A10,'Daily Summary'!$C$5:$C$70,"Yes"),"")</f>
        <v>5.07317073170732</v>
      </c>
      <c r="F10" s="14" t="n">
        <f aca="false">IFERROR(AVERAGEIFS('Daily Summary'!$H$5:$H$70,'Daily Summary'!$B$5:$B$70,$A10,'Daily Summary'!$C$5:$C$70,"Yes"),"")</f>
        <v>5</v>
      </c>
      <c r="G10" s="14" t="n">
        <f aca="false">IFERROR(AVERAGEIFS('Daily Summary'!$I$5:$I$70,'Daily Summary'!$B$5:$B$70,$A10,'Daily Summary'!$C$5:$C$70,"Yes"),"")</f>
        <v>1.85714285714286</v>
      </c>
      <c r="H10" s="14" t="n">
        <f aca="false">IFERROR(AVERAGEIFS('Daily Summary'!$L$5:$L$70,'Daily Summary'!$B$5:$B$70,$A10,'Daily Summary'!$C$5:$C$70,"Yes"),"")</f>
        <v>1.85714285714286</v>
      </c>
      <c r="I10" s="14" t="n">
        <f aca="false">IFERROR(AVERAGEIFS('Daily Summary'!$M$5:$M$70,'Daily Summary'!$B$5:$B$70,$A10,'Daily Summary'!$C$5:$C$70,"Yes"),"")</f>
        <v>2.52380952380952</v>
      </c>
      <c r="J10" s="14" t="n">
        <f aca="false">IFERROR(AVERAGEIFS('Daily Summary'!$P$5:$P$70,'Daily Summary'!$B$5:$B$70,$A10,'Daily Summary'!$C$5:$C$70,"Yes"),"")</f>
        <v>6.85000000006651</v>
      </c>
      <c r="K10" s="14" t="n">
        <f aca="false">IFERROR(AVERAGEIFS('Daily Summary'!$Q$5:$Q$70,'Daily Summary'!$B$5:$B$70,$A10,'Daily Summary'!$C$5:$C$70,"Yes"),"")</f>
        <v>9.37380952387603</v>
      </c>
      <c r="L10" s="16" t="n">
        <f aca="false">IFERROR(MOD(AVERAGEIFS('Daily Summary'!$S$5:$S$70,'Daily Summary'!$B$5:$B$70,$A10,'Daily Summary'!$C$5:$C$70,"Yes")/24+0.5,1),"")</f>
        <v>0.042956349206049</v>
      </c>
      <c r="M10" s="16" t="n">
        <f aca="false">IFERROR(AVERAGEIFS('Daily Summary'!$T$5:$T$70,'Daily Summary'!$B$5:$B$70,$A10,'Daily Summary'!$C$5:$C$70,"Yes"),"")</f>
        <v>0.328373015879021</v>
      </c>
      <c r="N10" s="15" t="n">
        <f aca="false">IF(OR(D10="",D9=""),"",D10-D9)</f>
        <v>2</v>
      </c>
      <c r="O10" s="15" t="n">
        <f aca="false">IF(OR(K10="",K9=""),"",K10-K9)</f>
        <v>-0.614285714158175</v>
      </c>
      <c r="P10" s="28" t="s">
        <v>62</v>
      </c>
    </row>
    <row r="11" customFormat="false" ht="15" hidden="false" customHeight="false" outlineLevel="0" collapsed="false">
      <c r="A11" s="27" t="n">
        <v>46286</v>
      </c>
      <c r="B11" s="19" t="n">
        <f aca="false">COUNTIFS('Daily Summary'!$B$5:$B$70,A11,'Daily Summary'!$C$5:$C$70,"Yes")</f>
        <v>7</v>
      </c>
      <c r="C11" s="11" t="n">
        <f aca="false">IFERROR(AVERAGEIFS('Daily Summary'!$D$5:$D$70,'Daily Summary'!$B$5:$B$70,$A11,'Daily Summary'!$C$5:$C$70,"Yes"),"")</f>
        <v>5.57142857142857</v>
      </c>
      <c r="D11" s="11" t="n">
        <f aca="false">IFERROR(AVERAGEIFS('Daily Summary'!$F$5:$F$70,'Daily Summary'!$B$5:$B$70,$A11,'Daily Summary'!$C$5:$C$70,"Yes"),"")</f>
        <v>28</v>
      </c>
      <c r="E11" s="11" t="n">
        <f aca="false">IFERROR(SUMIFS('Daily Summary'!$F$5:$F$70,'Daily Summary'!$B$5:$B$70,$A11,'Daily Summary'!$C$5:$C$70,"Yes")/SUMIFS('Daily Summary'!$E$5:$E$70,'Daily Summary'!$B$5:$B$70,$A11,'Daily Summary'!$C$5:$C$70,"Yes"),"")</f>
        <v>5.02564102564103</v>
      </c>
      <c r="F11" s="11" t="n">
        <f aca="false">IFERROR(AVERAGEIFS('Daily Summary'!$H$5:$H$70,'Daily Summary'!$B$5:$B$70,$A11,'Daily Summary'!$C$5:$C$70,"Yes"),"")</f>
        <v>5</v>
      </c>
      <c r="G11" s="11" t="n">
        <f aca="false">IFERROR(AVERAGEIFS('Daily Summary'!$I$5:$I$70,'Daily Summary'!$B$5:$B$70,$A11,'Daily Summary'!$C$5:$C$70,"Yes"),"")</f>
        <v>1.57142857142857</v>
      </c>
      <c r="H11" s="11" t="n">
        <f aca="false">IFERROR(AVERAGEIFS('Daily Summary'!$L$5:$L$70,'Daily Summary'!$B$5:$B$70,$A11,'Daily Summary'!$C$5:$C$70,"Yes"),"")</f>
        <v>3.71428571428571</v>
      </c>
      <c r="I11" s="11" t="n">
        <f aca="false">IFERROR(AVERAGEIFS('Daily Summary'!$M$5:$M$70,'Daily Summary'!$B$5:$B$70,$A11,'Daily Summary'!$C$5:$C$70,"Yes"),"")</f>
        <v>3.29523809523694</v>
      </c>
      <c r="J11" s="11" t="n">
        <f aca="false">IFERROR(AVERAGEIFS('Daily Summary'!$P$5:$P$70,'Daily Summary'!$B$5:$B$70,$A11,'Daily Summary'!$C$5:$C$70,"Yes"),"")</f>
        <v>7.16388888888889</v>
      </c>
      <c r="K11" s="11" t="n">
        <f aca="false">IFERROR(AVERAGEIFS('Daily Summary'!$Q$5:$Q$70,'Daily Summary'!$B$5:$B$70,$A11,'Daily Summary'!$C$5:$C$70,"Yes"),"")</f>
        <v>10.3694444444955</v>
      </c>
      <c r="L11" s="18" t="n">
        <f aca="false">IFERROR(MOD(AVERAGEIFS('Daily Summary'!$S$5:$S$70,'Daily Summary'!$B$5:$B$70,$A11,'Daily Summary'!$C$5:$C$70,"Yes")/24+0.5,1),"")</f>
        <v>0.023611111111677</v>
      </c>
      <c r="M11" s="18" t="n">
        <f aca="false">IFERROR(AVERAGEIFS('Daily Summary'!$T$5:$T$70,'Daily Summary'!$B$5:$B$70,$A11,'Daily Summary'!$C$5:$C$70,"Yes"),"")</f>
        <v>0.322106481481266</v>
      </c>
      <c r="N11" s="12" t="n">
        <f aca="false">IF(OR(D11="",D10=""),"",D11-D10)</f>
        <v>-1.71428571428572</v>
      </c>
      <c r="O11" s="12" t="n">
        <f aca="false">IF(OR(K11="",K10=""),"",K11-K10)</f>
        <v>0.995634920619477</v>
      </c>
      <c r="P11" s="28" t="s">
        <v>63</v>
      </c>
    </row>
    <row r="12" customFormat="false" ht="15" hidden="false" customHeight="false" outlineLevel="0" collapsed="false">
      <c r="A12" s="29" t="n">
        <v>46293</v>
      </c>
      <c r="B12" s="17" t="n">
        <f aca="false">COUNTIFS('Daily Summary'!$B$5:$B$70,A12,'Daily Summary'!$C$5:$C$70,"Yes")</f>
        <v>7</v>
      </c>
      <c r="C12" s="14" t="n">
        <f aca="false">IFERROR(AVERAGEIFS('Daily Summary'!$D$5:$D$70,'Daily Summary'!$B$5:$B$70,$A12,'Daily Summary'!$C$5:$C$70,"Yes"),"")</f>
        <v>5.57142857142857</v>
      </c>
      <c r="D12" s="14" t="n">
        <f aca="false">IFERROR(AVERAGEIFS('Daily Summary'!$F$5:$F$70,'Daily Summary'!$B$5:$B$70,$A12,'Daily Summary'!$C$5:$C$70,"Yes"),"")</f>
        <v>28.1428571428571</v>
      </c>
      <c r="E12" s="14" t="n">
        <f aca="false">IFERROR(SUMIFS('Daily Summary'!$F$5:$F$70,'Daily Summary'!$B$5:$B$70,$A12,'Daily Summary'!$C$5:$C$70,"Yes")/SUMIFS('Daily Summary'!$E$5:$E$70,'Daily Summary'!$B$5:$B$70,$A12,'Daily Summary'!$C$5:$C$70,"Yes"),"")</f>
        <v>5.05128205128205</v>
      </c>
      <c r="F12" s="14" t="n">
        <f aca="false">IFERROR(AVERAGEIFS('Daily Summary'!$H$5:$H$70,'Daily Summary'!$B$5:$B$70,$A12,'Daily Summary'!$C$5:$C$70,"Yes"),"")</f>
        <v>4.71428571428571</v>
      </c>
      <c r="G12" s="14" t="n">
        <f aca="false">IFERROR(AVERAGEIFS('Daily Summary'!$I$5:$I$70,'Daily Summary'!$B$5:$B$70,$A12,'Daily Summary'!$C$5:$C$70,"Yes"),"")</f>
        <v>1.14285714285714</v>
      </c>
      <c r="H12" s="14" t="n">
        <f aca="false">IFERROR(AVERAGEIFS('Daily Summary'!$L$5:$L$70,'Daily Summary'!$B$5:$B$70,$A12,'Daily Summary'!$C$5:$C$70,"Yes"),"")</f>
        <v>3.57142857142857</v>
      </c>
      <c r="I12" s="14" t="n">
        <f aca="false">IFERROR(AVERAGEIFS('Daily Summary'!$M$5:$M$70,'Daily Summary'!$B$5:$B$70,$A12,'Daily Summary'!$C$5:$C$70,"Yes"),"")</f>
        <v>2.86428571432389</v>
      </c>
      <c r="J12" s="14" t="n">
        <f aca="false">IFERROR(AVERAGEIFS('Daily Summary'!$P$5:$P$70,'Daily Summary'!$B$5:$B$70,$A12,'Daily Summary'!$C$5:$C$70,"Yes"),"")</f>
        <v>7.23333333333333</v>
      </c>
      <c r="K12" s="14" t="n">
        <f aca="false">IFERROR(AVERAGEIFS('Daily Summary'!$Q$5:$Q$70,'Daily Summary'!$B$5:$B$70,$A12,'Daily Summary'!$C$5:$C$70,"Yes"),"")</f>
        <v>10.0976190476572</v>
      </c>
      <c r="L12" s="16" t="n">
        <f aca="false">IFERROR(MOD(AVERAGEIFS('Daily Summary'!$S$5:$S$70,'Daily Summary'!$B$5:$B$70,$A12,'Daily Summary'!$C$5:$C$70,"Yes")/24+0.5,1),"")</f>
        <v>0.0530753968237798</v>
      </c>
      <c r="M12" s="16" t="n">
        <f aca="false">IFERROR(AVERAGEIFS('Daily Summary'!$T$5:$T$70,'Daily Summary'!$B$5:$B$70,$A12,'Daily Summary'!$C$5:$C$70,"Yes"),"")</f>
        <v>0.354464285712831</v>
      </c>
      <c r="N12" s="15" t="n">
        <f aca="false">IF(OR(D12="",D11=""),"",D12-D11)</f>
        <v>0.142857142857142</v>
      </c>
      <c r="O12" s="15" t="n">
        <f aca="false">IF(OR(K12="",K11=""),"",K12-K11)</f>
        <v>-0.271825396838286</v>
      </c>
      <c r="P12" s="28" t="s">
        <v>64</v>
      </c>
    </row>
    <row r="13" customFormat="false" ht="15" hidden="false" customHeight="false" outlineLevel="0" collapsed="false">
      <c r="A13" s="27" t="n">
        <v>46300</v>
      </c>
      <c r="B13" s="19" t="n">
        <f aca="false">COUNTIFS('Daily Summary'!$B$5:$B$70,A13,'Daily Summary'!$C$5:$C$70,"Yes")</f>
        <v>7</v>
      </c>
      <c r="C13" s="11" t="n">
        <f aca="false">IFERROR(AVERAGEIFS('Daily Summary'!$D$5:$D$70,'Daily Summary'!$B$5:$B$70,$A13,'Daily Summary'!$C$5:$C$70,"Yes"),"")</f>
        <v>5.71428571428571</v>
      </c>
      <c r="D13" s="11" t="n">
        <f aca="false">IFERROR(AVERAGEIFS('Daily Summary'!$F$5:$F$70,'Daily Summary'!$B$5:$B$70,$A13,'Daily Summary'!$C$5:$C$70,"Yes"),"")</f>
        <v>29.4285714285714</v>
      </c>
      <c r="E13" s="11" t="n">
        <f aca="false">IFERROR(SUMIFS('Daily Summary'!$F$5:$F$70,'Daily Summary'!$B$5:$B$70,$A13,'Daily Summary'!$C$5:$C$70,"Yes")/SUMIFS('Daily Summary'!$E$5:$E$70,'Daily Summary'!$B$5:$B$70,$A13,'Daily Summary'!$C$5:$C$70,"Yes"),"")</f>
        <v>5.15</v>
      </c>
      <c r="F13" s="11" t="n">
        <f aca="false">IFERROR(AVERAGEIFS('Daily Summary'!$H$5:$H$70,'Daily Summary'!$B$5:$B$70,$A13,'Daily Summary'!$C$5:$C$70,"Yes"),"")</f>
        <v>4.42857142857143</v>
      </c>
      <c r="G13" s="11" t="n">
        <f aca="false">IFERROR(AVERAGEIFS('Daily Summary'!$I$5:$I$70,'Daily Summary'!$B$5:$B$70,$A13,'Daily Summary'!$C$5:$C$70,"Yes"),"")</f>
        <v>1</v>
      </c>
      <c r="H13" s="11" t="n">
        <f aca="false">IFERROR(AVERAGEIFS('Daily Summary'!$L$5:$L$70,'Daily Summary'!$B$5:$B$70,$A13,'Daily Summary'!$C$5:$C$70,"Yes"),"")</f>
        <v>4.28571428571429</v>
      </c>
      <c r="I13" s="11" t="n">
        <f aca="false">IFERROR(AVERAGEIFS('Daily Summary'!$M$5:$M$70,'Daily Summary'!$B$5:$B$70,$A13,'Daily Summary'!$C$5:$C$70,"Yes"),"")</f>
        <v>3.04761904766385</v>
      </c>
      <c r="J13" s="11" t="n">
        <f aca="false">IFERROR(AVERAGEIFS('Daily Summary'!$P$5:$P$70,'Daily Summary'!$B$5:$B$70,$A13,'Daily Summary'!$C$5:$C$70,"Yes"),"")</f>
        <v>7.79523809528353</v>
      </c>
      <c r="K13" s="11" t="n">
        <f aca="false">IFERROR(AVERAGEIFS('Daily Summary'!$Q$5:$Q$70,'Daily Summary'!$B$5:$B$70,$A13,'Daily Summary'!$C$5:$C$70,"Yes"),"")</f>
        <v>10.8428571429474</v>
      </c>
      <c r="L13" s="18" t="n">
        <f aca="false">IFERROR(MOD(AVERAGEIFS('Daily Summary'!$S$5:$S$70,'Daily Summary'!$B$5:$B$70,$A13,'Daily Summary'!$C$5:$C$70,"Yes")/24+0.5,1),"")</f>
        <v>0.0342261904754975</v>
      </c>
      <c r="M13" s="18" t="n">
        <f aca="false">IFERROR(AVERAGEIFS('Daily Summary'!$T$5:$T$70,'Daily Summary'!$B$5:$B$70,$A13,'Daily Summary'!$C$5:$C$70,"Yes"),"")</f>
        <v>0.359027777780804</v>
      </c>
      <c r="N13" s="12" t="n">
        <f aca="false">IF(OR(D13="",D12=""),"",D13-D12)</f>
        <v>1.28571428571428</v>
      </c>
      <c r="O13" s="12" t="n">
        <f aca="false">IF(OR(K13="",K12=""),"",K13-K12)</f>
        <v>0.745238095290159</v>
      </c>
      <c r="P13" s="28" t="s">
        <v>65</v>
      </c>
    </row>
    <row r="14" customFormat="false" ht="15" hidden="false" customHeight="false" outlineLevel="0" collapsed="false">
      <c r="A14" s="29" t="n">
        <v>46307</v>
      </c>
      <c r="B14" s="17" t="n">
        <f aca="false">COUNTIFS('Daily Summary'!$B$5:$B$70,A14,'Daily Summary'!$C$5:$C$70,"Yes")</f>
        <v>6</v>
      </c>
      <c r="C14" s="14" t="n">
        <f aca="false">IFERROR(AVERAGEIFS('Daily Summary'!$D$5:$D$70,'Daily Summary'!$B$5:$B$70,$A14,'Daily Summary'!$C$5:$C$70,"Yes"),"")</f>
        <v>5.66666666666667</v>
      </c>
      <c r="D14" s="14" t="n">
        <f aca="false">IFERROR(AVERAGEIFS('Daily Summary'!$F$5:$F$70,'Daily Summary'!$B$5:$B$70,$A14,'Daily Summary'!$C$5:$C$70,"Yes"),"")</f>
        <v>29.1666666666667</v>
      </c>
      <c r="E14" s="14" t="n">
        <f aca="false">IFERROR(SUMIFS('Daily Summary'!$F$5:$F$70,'Daily Summary'!$B$5:$B$70,$A14,'Daily Summary'!$C$5:$C$70,"Yes")/SUMIFS('Daily Summary'!$E$5:$E$70,'Daily Summary'!$B$5:$B$70,$A14,'Daily Summary'!$C$5:$C$70,"Yes"),"")</f>
        <v>5.14705882352941</v>
      </c>
      <c r="F14" s="14" t="n">
        <f aca="false">IFERROR(AVERAGEIFS('Daily Summary'!$H$5:$H$70,'Daily Summary'!$B$5:$B$70,$A14,'Daily Summary'!$C$5:$C$70,"Yes"),"")</f>
        <v>4.33333333333333</v>
      </c>
      <c r="G14" s="14" t="n">
        <f aca="false">IFERROR(AVERAGEIFS('Daily Summary'!$I$5:$I$70,'Daily Summary'!$B$5:$B$70,$A14,'Daily Summary'!$C$5:$C$70,"Yes"),"")</f>
        <v>1.16666666666667</v>
      </c>
      <c r="H14" s="14" t="n">
        <f aca="false">IFERROR(AVERAGEIFS('Daily Summary'!$L$5:$L$70,'Daily Summary'!$B$5:$B$70,$A14,'Daily Summary'!$C$5:$C$70,"Yes"),"")</f>
        <v>3.83333333333333</v>
      </c>
      <c r="I14" s="14" t="n">
        <f aca="false">IFERROR(AVERAGEIFS('Daily Summary'!$M$5:$M$70,'Daily Summary'!$B$5:$B$70,$A14,'Daily Summary'!$C$5:$C$70,"Yes"),"")</f>
        <v>3.14999999985185</v>
      </c>
      <c r="J14" s="14" t="n">
        <f aca="false">IFERROR(AVERAGEIFS('Daily Summary'!$P$5:$P$70,'Daily Summary'!$B$5:$B$70,$A14,'Daily Summary'!$C$5:$C$70,"Yes"),"")</f>
        <v>7.09166666671708</v>
      </c>
      <c r="K14" s="14" t="n">
        <f aca="false">IFERROR(AVERAGEIFS('Daily Summary'!$Q$5:$Q$70,'Daily Summary'!$B$5:$B$70,$A14,'Daily Summary'!$C$5:$C$70,"Yes"),"")</f>
        <v>10.2416666665689</v>
      </c>
      <c r="L14" s="16" t="n">
        <f aca="false">IFERROR(MOD(AVERAGEIFS('Daily Summary'!$S$5:$S$70,'Daily Summary'!$B$5:$B$70,$A14,'Daily Summary'!$C$5:$C$70,"Yes")/24+0.5,1),"")</f>
        <v>0.046064814815812</v>
      </c>
      <c r="M14" s="16" t="n">
        <f aca="false">IFERROR(AVERAGEIFS('Daily Summary'!$T$5:$T$70,'Daily Summary'!$B$5:$B$70,$A14,'Daily Summary'!$C$5:$C$70,"Yes"),"")</f>
        <v>0.341550925924821</v>
      </c>
      <c r="N14" s="15" t="n">
        <f aca="false">IF(OR(D14="",D13=""),"",D14-D13)</f>
        <v>-0.261904761904759</v>
      </c>
      <c r="O14" s="15" t="n">
        <f aca="false">IF(OR(K14="",K13=""),"",K14-K13)</f>
        <v>-0.601190476378445</v>
      </c>
      <c r="P14" s="2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3" t="s">
        <v>68</v>
      </c>
    </row>
    <row r="4" customFormat="false" ht="31.5" hidden="false" customHeight="true" outlineLevel="0" collapsed="false">
      <c r="A4" s="10" t="s">
        <v>69</v>
      </c>
      <c r="B4" s="10" t="s">
        <v>70</v>
      </c>
      <c r="C4" s="10" t="s">
        <v>12</v>
      </c>
      <c r="D4" s="10" t="s">
        <v>71</v>
      </c>
      <c r="E4" s="10" t="s">
        <v>72</v>
      </c>
      <c r="F4" s="10" t="s">
        <v>73</v>
      </c>
    </row>
    <row r="5" customFormat="false" ht="15" hidden="false" customHeight="false" outlineLevel="0" collapsed="false">
      <c r="A5" s="30" t="n">
        <v>46245.4791666667</v>
      </c>
      <c r="B5" s="31" t="s">
        <v>74</v>
      </c>
      <c r="C5" s="31"/>
      <c r="D5" s="31"/>
      <c r="E5" s="31"/>
      <c r="F5" s="26" t="n">
        <f aca="false">INT(A5-4/24)</f>
        <v>46245</v>
      </c>
    </row>
    <row r="6" customFormat="false" ht="15" hidden="false" customHeight="false" outlineLevel="0" collapsed="false">
      <c r="A6" s="30" t="n">
        <v>46248.7916666667</v>
      </c>
      <c r="B6" s="31" t="s">
        <v>75</v>
      </c>
      <c r="C6" s="31"/>
      <c r="D6" s="31"/>
      <c r="E6" s="31" t="s">
        <v>76</v>
      </c>
      <c r="F6" s="26" t="n">
        <f aca="false">INT(A6-4/24)</f>
        <v>46248</v>
      </c>
    </row>
    <row r="7" customFormat="false" ht="15" hidden="false" customHeight="false" outlineLevel="0" collapsed="false">
      <c r="A7" s="30" t="n">
        <v>46248.8541666667</v>
      </c>
      <c r="B7" s="31" t="s">
        <v>77</v>
      </c>
      <c r="C7" s="31"/>
      <c r="D7" s="31"/>
      <c r="E7" s="31" t="s">
        <v>78</v>
      </c>
      <c r="F7" s="26" t="n">
        <f aca="false">INT(A7-4/24)</f>
        <v>46248</v>
      </c>
    </row>
    <row r="8" customFormat="false" ht="15" hidden="false" customHeight="false" outlineLevel="0" collapsed="false">
      <c r="A8" s="30" t="n">
        <v>46248.9340277778</v>
      </c>
      <c r="B8" s="31" t="s">
        <v>74</v>
      </c>
      <c r="C8" s="31"/>
      <c r="D8" s="31"/>
      <c r="E8" s="31"/>
      <c r="F8" s="26" t="n">
        <f aca="false">INT(A8-4/24)</f>
        <v>46248</v>
      </c>
    </row>
    <row r="9" customFormat="false" ht="15" hidden="false" customHeight="false" outlineLevel="0" collapsed="false">
      <c r="A9" s="30" t="n">
        <v>46248.9604166667</v>
      </c>
      <c r="B9" s="31" t="s">
        <v>77</v>
      </c>
      <c r="C9" s="31"/>
      <c r="D9" s="31"/>
      <c r="E9" s="31"/>
      <c r="F9" s="26" t="n">
        <f aca="false">INT(A9-4/24)</f>
        <v>46248</v>
      </c>
    </row>
    <row r="10" customFormat="false" ht="15" hidden="false" customHeight="false" outlineLevel="0" collapsed="false">
      <c r="A10" s="30" t="n">
        <v>46249.0069444445</v>
      </c>
      <c r="B10" s="31" t="s">
        <v>75</v>
      </c>
      <c r="C10" s="31"/>
      <c r="D10" s="31"/>
      <c r="E10" s="31"/>
      <c r="F10" s="26" t="n">
        <f aca="false">INT(A10-4/24)</f>
        <v>46248</v>
      </c>
    </row>
    <row r="11" customFormat="false" ht="15" hidden="false" customHeight="false" outlineLevel="0" collapsed="false">
      <c r="A11" s="30" t="n">
        <v>46249.025</v>
      </c>
      <c r="B11" s="31" t="s">
        <v>20</v>
      </c>
      <c r="C11" s="31"/>
      <c r="D11" s="31"/>
      <c r="E11" s="31"/>
      <c r="F11" s="26" t="n">
        <f aca="false">INT(A11-4/24)</f>
        <v>46248</v>
      </c>
    </row>
    <row r="12" customFormat="false" ht="15" hidden="false" customHeight="false" outlineLevel="0" collapsed="false">
      <c r="A12" s="30" t="n">
        <v>46249.3125</v>
      </c>
      <c r="B12" s="31" t="s">
        <v>79</v>
      </c>
      <c r="C12" s="31"/>
      <c r="D12" s="31"/>
      <c r="E12" s="31"/>
      <c r="F12" s="26" t="n">
        <f aca="false">INT(A12-4/24)</f>
        <v>46249</v>
      </c>
    </row>
    <row r="13" customFormat="false" ht="15" hidden="false" customHeight="false" outlineLevel="0" collapsed="false">
      <c r="A13" s="30" t="n">
        <v>46249.3277777778</v>
      </c>
      <c r="B13" s="31" t="s">
        <v>75</v>
      </c>
      <c r="C13" s="31"/>
      <c r="D13" s="31"/>
      <c r="E13" s="31"/>
      <c r="F13" s="26" t="n">
        <f aca="false">INT(A13-4/24)</f>
        <v>46249</v>
      </c>
    </row>
    <row r="14" customFormat="false" ht="15" hidden="false" customHeight="false" outlineLevel="0" collapsed="false">
      <c r="A14" s="30" t="n">
        <v>46249.3416666667</v>
      </c>
      <c r="B14" s="31" t="s">
        <v>77</v>
      </c>
      <c r="C14" s="31"/>
      <c r="D14" s="31"/>
      <c r="E14" s="31"/>
      <c r="F14" s="26" t="n">
        <f aca="false">INT(A14-4/24)</f>
        <v>46249</v>
      </c>
    </row>
    <row r="15" customFormat="false" ht="15" hidden="false" customHeight="false" outlineLevel="0" collapsed="false">
      <c r="A15" s="30" t="n">
        <v>46249.3416666667</v>
      </c>
      <c r="B15" s="31" t="s">
        <v>74</v>
      </c>
      <c r="C15" s="31"/>
      <c r="D15" s="31"/>
      <c r="E15" s="31"/>
      <c r="F15" s="26" t="n">
        <f aca="false">INT(A15-4/24)</f>
        <v>46249</v>
      </c>
    </row>
    <row r="16" customFormat="false" ht="15" hidden="false" customHeight="false" outlineLevel="0" collapsed="false">
      <c r="A16" s="30" t="n">
        <v>46249.3694444444</v>
      </c>
      <c r="B16" s="31" t="s">
        <v>80</v>
      </c>
      <c r="C16" s="31"/>
      <c r="D16" s="31"/>
      <c r="E16" s="31"/>
      <c r="F16" s="26" t="n">
        <f aca="false">INT(A16-4/24)</f>
        <v>46249</v>
      </c>
    </row>
    <row r="17" customFormat="false" ht="15" hidden="false" customHeight="false" outlineLevel="0" collapsed="false">
      <c r="A17" s="30" t="n">
        <v>46249.4090277778</v>
      </c>
      <c r="B17" s="31" t="s">
        <v>81</v>
      </c>
      <c r="C17" s="31"/>
      <c r="D17" s="31"/>
      <c r="E17" s="31"/>
      <c r="F17" s="26" t="n">
        <f aca="false">INT(A17-4/24)</f>
        <v>46249</v>
      </c>
    </row>
    <row r="18" customFormat="false" ht="15" hidden="false" customHeight="false" outlineLevel="0" collapsed="false">
      <c r="A18" s="30" t="n">
        <v>46249.4375</v>
      </c>
      <c r="B18" s="31" t="s">
        <v>77</v>
      </c>
      <c r="C18" s="31"/>
      <c r="D18" s="31"/>
      <c r="E18" s="31"/>
      <c r="F18" s="26" t="n">
        <f aca="false">INT(A18-4/24)</f>
        <v>46249</v>
      </c>
    </row>
    <row r="19" customFormat="false" ht="15" hidden="false" customHeight="false" outlineLevel="0" collapsed="false">
      <c r="A19" s="30" t="n">
        <v>46249.4513888889</v>
      </c>
      <c r="B19" s="31" t="s">
        <v>74</v>
      </c>
      <c r="C19" s="31"/>
      <c r="D19" s="31"/>
      <c r="E19" s="31"/>
      <c r="F19" s="26" t="n">
        <f aca="false">INT(A19-4/24)</f>
        <v>46249</v>
      </c>
    </row>
    <row r="20" customFormat="false" ht="15" hidden="false" customHeight="false" outlineLevel="0" collapsed="false">
      <c r="A20" s="30" t="n">
        <v>46249.4694444445</v>
      </c>
      <c r="B20" s="31" t="s">
        <v>80</v>
      </c>
      <c r="C20" s="31"/>
      <c r="D20" s="31"/>
      <c r="E20" s="31"/>
      <c r="F20" s="26" t="n">
        <f aca="false">INT(A20-4/24)</f>
        <v>46249</v>
      </c>
    </row>
    <row r="21" customFormat="false" ht="15" hidden="false" customHeight="false" outlineLevel="0" collapsed="false">
      <c r="A21" s="30" t="n">
        <v>46249.5013888889</v>
      </c>
      <c r="B21" s="31" t="s">
        <v>81</v>
      </c>
      <c r="C21" s="31"/>
      <c r="D21" s="31"/>
      <c r="E21" s="31"/>
      <c r="F21" s="26" t="n">
        <f aca="false">INT(A21-4/24)</f>
        <v>46249</v>
      </c>
    </row>
    <row r="22" customFormat="false" ht="15" hidden="false" customHeight="false" outlineLevel="0" collapsed="false">
      <c r="A22" s="30" t="n">
        <v>46249.5430555556</v>
      </c>
      <c r="B22" s="31" t="s">
        <v>77</v>
      </c>
      <c r="C22" s="31"/>
      <c r="D22" s="31"/>
      <c r="E22" s="31"/>
      <c r="F22" s="26" t="n">
        <f aca="false">INT(A22-4/24)</f>
        <v>46249</v>
      </c>
    </row>
    <row r="23" customFormat="false" ht="15" hidden="false" customHeight="false" outlineLevel="0" collapsed="false">
      <c r="A23" s="30" t="n">
        <v>46249.5625</v>
      </c>
      <c r="B23" s="31" t="s">
        <v>74</v>
      </c>
      <c r="C23" s="31"/>
      <c r="D23" s="31"/>
      <c r="E23" s="31"/>
      <c r="F23" s="26" t="n">
        <f aca="false">INT(A23-4/24)</f>
        <v>46249</v>
      </c>
    </row>
    <row r="24" customFormat="false" ht="15" hidden="false" customHeight="false" outlineLevel="0" collapsed="false">
      <c r="A24" s="30" t="n">
        <v>46249.6097222222</v>
      </c>
      <c r="B24" s="31" t="s">
        <v>80</v>
      </c>
      <c r="C24" s="31"/>
      <c r="D24" s="31"/>
      <c r="E24" s="31"/>
      <c r="F24" s="26" t="n">
        <f aca="false">INT(A24-4/24)</f>
        <v>46249</v>
      </c>
    </row>
    <row r="25" customFormat="false" ht="15" hidden="false" customHeight="false" outlineLevel="0" collapsed="false">
      <c r="A25" s="30" t="n">
        <v>46249.6305555556</v>
      </c>
      <c r="B25" s="31" t="s">
        <v>81</v>
      </c>
      <c r="C25" s="31"/>
      <c r="D25" s="31"/>
      <c r="E25" s="31"/>
      <c r="F25" s="26" t="n">
        <f aca="false">INT(A25-4/24)</f>
        <v>46249</v>
      </c>
    </row>
    <row r="26" customFormat="false" ht="15" hidden="false" customHeight="false" outlineLevel="0" collapsed="false">
      <c r="A26" s="30" t="n">
        <v>46249.6576388889</v>
      </c>
      <c r="B26" s="31" t="s">
        <v>74</v>
      </c>
      <c r="C26" s="31"/>
      <c r="D26" s="31"/>
      <c r="E26" s="31"/>
      <c r="F26" s="26" t="n">
        <f aca="false">INT(A26-4/24)</f>
        <v>46249</v>
      </c>
    </row>
    <row r="27" customFormat="false" ht="15" hidden="false" customHeight="false" outlineLevel="0" collapsed="false">
      <c r="A27" s="30" t="n">
        <v>46249.6729166667</v>
      </c>
      <c r="B27" s="31" t="s">
        <v>75</v>
      </c>
      <c r="C27" s="31"/>
      <c r="D27" s="31"/>
      <c r="E27" s="31"/>
      <c r="F27" s="26" t="n">
        <f aca="false">INT(A27-4/24)</f>
        <v>46249</v>
      </c>
    </row>
    <row r="28" customFormat="false" ht="15" hidden="false" customHeight="false" outlineLevel="0" collapsed="false">
      <c r="A28" s="30" t="n">
        <v>46249.6729166667</v>
      </c>
      <c r="B28" s="31" t="s">
        <v>77</v>
      </c>
      <c r="C28" s="31"/>
      <c r="D28" s="31"/>
      <c r="E28" s="31"/>
      <c r="F28" s="26" t="n">
        <f aca="false">INT(A28-4/24)</f>
        <v>46249</v>
      </c>
    </row>
    <row r="29" customFormat="false" ht="15" hidden="false" customHeight="false" outlineLevel="0" collapsed="false">
      <c r="A29" s="30" t="n">
        <v>46249.6819444444</v>
      </c>
      <c r="B29" s="31" t="s">
        <v>80</v>
      </c>
      <c r="C29" s="31"/>
      <c r="D29" s="31"/>
      <c r="E29" s="31"/>
      <c r="F29" s="26" t="n">
        <f aca="false">INT(A29-4/24)</f>
        <v>46249</v>
      </c>
    </row>
    <row r="30" customFormat="false" ht="15" hidden="false" customHeight="false" outlineLevel="0" collapsed="false">
      <c r="A30" s="30" t="n">
        <v>46249.7118055556</v>
      </c>
      <c r="B30" s="31" t="s">
        <v>81</v>
      </c>
      <c r="C30" s="31"/>
      <c r="D30" s="31"/>
      <c r="E30" s="31"/>
      <c r="F30" s="26" t="n">
        <f aca="false">INT(A30-4/24)</f>
        <v>46249</v>
      </c>
    </row>
    <row r="31" customFormat="false" ht="15" hidden="false" customHeight="false" outlineLevel="0" collapsed="false">
      <c r="A31" s="30" t="n">
        <v>46249.7923611111</v>
      </c>
      <c r="B31" s="31" t="s">
        <v>77</v>
      </c>
      <c r="C31" s="31"/>
      <c r="D31" s="31"/>
      <c r="E31" s="31"/>
      <c r="F31" s="26" t="n">
        <f aca="false">INT(A31-4/24)</f>
        <v>46249</v>
      </c>
    </row>
    <row r="32" customFormat="false" ht="15" hidden="false" customHeight="false" outlineLevel="0" collapsed="false">
      <c r="A32" s="30" t="n">
        <v>46249.8347222222</v>
      </c>
      <c r="B32" s="31" t="s">
        <v>74</v>
      </c>
      <c r="C32" s="31"/>
      <c r="D32" s="31"/>
      <c r="E32" s="31"/>
      <c r="F32" s="26" t="n">
        <f aca="false">INT(A32-4/24)</f>
        <v>46249</v>
      </c>
    </row>
    <row r="33" customFormat="false" ht="15" hidden="false" customHeight="false" outlineLevel="0" collapsed="false">
      <c r="A33" s="30" t="n">
        <v>46249.8361111111</v>
      </c>
      <c r="B33" s="31" t="s">
        <v>79</v>
      </c>
      <c r="C33" s="31"/>
      <c r="D33" s="31"/>
      <c r="E33" s="31"/>
      <c r="F33" s="26" t="n">
        <f aca="false">INT(A33-4/24)</f>
        <v>46249</v>
      </c>
    </row>
    <row r="34" customFormat="false" ht="15" hidden="false" customHeight="false" outlineLevel="0" collapsed="false">
      <c r="A34" s="30" t="n">
        <v>46249.8673611111</v>
      </c>
      <c r="B34" s="31" t="s">
        <v>74</v>
      </c>
      <c r="C34" s="31"/>
      <c r="D34" s="31"/>
      <c r="E34" s="31"/>
      <c r="F34" s="26" t="n">
        <f aca="false">INT(A34-4/24)</f>
        <v>46249</v>
      </c>
    </row>
    <row r="35" customFormat="false" ht="15" hidden="false" customHeight="false" outlineLevel="0" collapsed="false">
      <c r="A35" s="30" t="n">
        <v>46249.8770833333</v>
      </c>
      <c r="B35" s="31" t="s">
        <v>80</v>
      </c>
      <c r="C35" s="31"/>
      <c r="D35" s="31"/>
      <c r="E35" s="31"/>
      <c r="F35" s="26" t="n">
        <f aca="false">INT(A35-4/24)</f>
        <v>46249</v>
      </c>
    </row>
    <row r="36" customFormat="false" ht="15" hidden="false" customHeight="false" outlineLevel="0" collapsed="false">
      <c r="A36" s="30" t="n">
        <v>46249.9</v>
      </c>
      <c r="B36" s="31" t="s">
        <v>81</v>
      </c>
      <c r="C36" s="31"/>
      <c r="D36" s="31"/>
      <c r="E36" s="31"/>
      <c r="F36" s="26" t="n">
        <f aca="false">INT(A36-4/24)</f>
        <v>46249</v>
      </c>
    </row>
    <row r="37" customFormat="false" ht="15" hidden="false" customHeight="false" outlineLevel="0" collapsed="false">
      <c r="A37" s="30" t="n">
        <v>46249.9083333333</v>
      </c>
      <c r="B37" s="31" t="s">
        <v>77</v>
      </c>
      <c r="C37" s="31"/>
      <c r="D37" s="31"/>
      <c r="E37" s="31"/>
      <c r="F37" s="26" t="n">
        <f aca="false">INT(A37-4/24)</f>
        <v>46249</v>
      </c>
    </row>
    <row r="38" customFormat="false" ht="15" hidden="false" customHeight="false" outlineLevel="0" collapsed="false">
      <c r="A38" s="30" t="n">
        <v>46249.9659722222</v>
      </c>
      <c r="B38" s="31" t="s">
        <v>80</v>
      </c>
      <c r="C38" s="31"/>
      <c r="D38" s="31"/>
      <c r="E38" s="31"/>
      <c r="F38" s="26" t="n">
        <f aca="false">INT(A38-4/24)</f>
        <v>46249</v>
      </c>
    </row>
    <row r="39" customFormat="false" ht="15" hidden="false" customHeight="false" outlineLevel="0" collapsed="false">
      <c r="A39" s="30" t="n">
        <v>46250.0166666667</v>
      </c>
      <c r="B39" s="31" t="s">
        <v>81</v>
      </c>
      <c r="C39" s="31"/>
      <c r="D39" s="31"/>
      <c r="E39" s="31"/>
      <c r="F39" s="26" t="n">
        <f aca="false">INT(A39-4/24)</f>
        <v>46249</v>
      </c>
    </row>
    <row r="40" customFormat="false" ht="15" hidden="false" customHeight="false" outlineLevel="0" collapsed="false">
      <c r="A40" s="30" t="n">
        <v>46250.0166666667</v>
      </c>
      <c r="B40" s="31" t="s">
        <v>77</v>
      </c>
      <c r="C40" s="31"/>
      <c r="D40" s="31"/>
      <c r="E40" s="31"/>
      <c r="F40" s="26" t="n">
        <f aca="false">INT(A40-4/24)</f>
        <v>46249</v>
      </c>
    </row>
    <row r="41" customFormat="false" ht="15" hidden="false" customHeight="false" outlineLevel="0" collapsed="false">
      <c r="A41" s="30" t="n">
        <v>46250.0166666667</v>
      </c>
      <c r="B41" s="31" t="s">
        <v>75</v>
      </c>
      <c r="C41" s="31"/>
      <c r="D41" s="31"/>
      <c r="E41" s="31"/>
      <c r="F41" s="26" t="n">
        <f aca="false">INT(A41-4/24)</f>
        <v>46249</v>
      </c>
    </row>
    <row r="42" customFormat="false" ht="15" hidden="false" customHeight="false" outlineLevel="0" collapsed="false">
      <c r="A42" s="30" t="n">
        <v>46250.0333333333</v>
      </c>
      <c r="B42" s="31" t="s">
        <v>74</v>
      </c>
      <c r="C42" s="31"/>
      <c r="D42" s="31"/>
      <c r="E42" s="31"/>
      <c r="F42" s="26" t="n">
        <f aca="false">INT(A42-4/24)</f>
        <v>46249</v>
      </c>
    </row>
    <row r="43" customFormat="false" ht="15" hidden="false" customHeight="false" outlineLevel="0" collapsed="false">
      <c r="A43" s="30" t="n">
        <v>46250.0625</v>
      </c>
      <c r="B43" s="31" t="s">
        <v>20</v>
      </c>
      <c r="C43" s="31"/>
      <c r="D43" s="31"/>
      <c r="E43" s="31"/>
      <c r="F43" s="26" t="n">
        <f aca="false">INT(A43-4/24)</f>
        <v>46249</v>
      </c>
    </row>
    <row r="44" customFormat="false" ht="15" hidden="false" customHeight="false" outlineLevel="0" collapsed="false">
      <c r="A44" s="30" t="n">
        <v>46250.2541666667</v>
      </c>
      <c r="B44" s="31" t="s">
        <v>79</v>
      </c>
      <c r="C44" s="31"/>
      <c r="D44" s="31"/>
      <c r="E44" s="31"/>
      <c r="F44" s="26" t="n">
        <f aca="false">INT(A44-4/24)</f>
        <v>46250</v>
      </c>
    </row>
    <row r="45" customFormat="false" ht="15" hidden="false" customHeight="false" outlineLevel="0" collapsed="false">
      <c r="A45" s="30" t="n">
        <v>46250.2625</v>
      </c>
      <c r="B45" s="31" t="s">
        <v>75</v>
      </c>
      <c r="C45" s="31"/>
      <c r="D45" s="31"/>
      <c r="E45" s="31"/>
      <c r="F45" s="26" t="n">
        <f aca="false">INT(A45-4/24)</f>
        <v>46250</v>
      </c>
    </row>
    <row r="46" customFormat="false" ht="15" hidden="false" customHeight="false" outlineLevel="0" collapsed="false">
      <c r="A46" s="30" t="n">
        <v>46250.3527777778</v>
      </c>
      <c r="B46" s="31" t="s">
        <v>81</v>
      </c>
      <c r="C46" s="31"/>
      <c r="D46" s="31"/>
      <c r="E46" s="31"/>
      <c r="F46" s="26" t="n">
        <f aca="false">INT(A46-4/24)</f>
        <v>46250</v>
      </c>
    </row>
    <row r="47" customFormat="false" ht="15" hidden="false" customHeight="false" outlineLevel="0" collapsed="false">
      <c r="A47" s="30" t="n">
        <v>46250.3583333333</v>
      </c>
      <c r="B47" s="31" t="s">
        <v>77</v>
      </c>
      <c r="C47" s="31"/>
      <c r="D47" s="31"/>
      <c r="E47" s="31"/>
      <c r="F47" s="26" t="n">
        <f aca="false">INT(A47-4/24)</f>
        <v>46250</v>
      </c>
    </row>
    <row r="48" customFormat="false" ht="15" hidden="false" customHeight="false" outlineLevel="0" collapsed="false">
      <c r="A48" s="30" t="n">
        <v>46250.3583333333</v>
      </c>
      <c r="B48" s="31" t="s">
        <v>75</v>
      </c>
      <c r="C48" s="31"/>
      <c r="D48" s="31"/>
      <c r="E48" s="31"/>
      <c r="F48" s="26" t="n">
        <f aca="false">INT(A48-4/24)</f>
        <v>46250</v>
      </c>
    </row>
    <row r="49" customFormat="false" ht="15" hidden="false" customHeight="false" outlineLevel="0" collapsed="false">
      <c r="A49" s="30" t="n">
        <v>46250.3708333333</v>
      </c>
      <c r="B49" s="31" t="s">
        <v>74</v>
      </c>
      <c r="C49" s="31"/>
      <c r="D49" s="31"/>
      <c r="E49" s="31"/>
      <c r="F49" s="26" t="n">
        <f aca="false">INT(A49-4/24)</f>
        <v>46250</v>
      </c>
    </row>
    <row r="50" customFormat="false" ht="15" hidden="false" customHeight="false" outlineLevel="0" collapsed="false">
      <c r="A50" s="30" t="n">
        <v>46250.5006944445</v>
      </c>
      <c r="B50" s="31" t="s">
        <v>74</v>
      </c>
      <c r="C50" s="31"/>
      <c r="D50" s="31"/>
      <c r="E50" s="31"/>
      <c r="F50" s="26" t="n">
        <f aca="false">INT(A50-4/24)</f>
        <v>46250</v>
      </c>
    </row>
    <row r="51" customFormat="false" ht="15" hidden="false" customHeight="false" outlineLevel="0" collapsed="false">
      <c r="A51" s="30" t="n">
        <v>46250.5416666667</v>
      </c>
      <c r="B51" s="31" t="s">
        <v>77</v>
      </c>
      <c r="C51" s="31"/>
      <c r="D51" s="31"/>
      <c r="E51" s="31"/>
      <c r="F51" s="26" t="n">
        <f aca="false">INT(A51-4/24)</f>
        <v>46250</v>
      </c>
    </row>
    <row r="52" customFormat="false" ht="15" hidden="false" customHeight="false" outlineLevel="0" collapsed="false">
      <c r="A52" s="30" t="n">
        <v>46250.6736111111</v>
      </c>
      <c r="B52" s="31" t="s">
        <v>75</v>
      </c>
      <c r="C52" s="31"/>
      <c r="D52" s="31"/>
      <c r="E52" s="31"/>
      <c r="F52" s="26" t="n">
        <f aca="false">INT(A52-4/24)</f>
        <v>46250</v>
      </c>
    </row>
    <row r="53" customFormat="false" ht="15" hidden="false" customHeight="false" outlineLevel="0" collapsed="false">
      <c r="A53" s="30" t="n">
        <v>46250.6770833333</v>
      </c>
      <c r="B53" s="31" t="s">
        <v>77</v>
      </c>
      <c r="C53" s="31"/>
      <c r="D53" s="31"/>
      <c r="E53" s="31"/>
      <c r="F53" s="26" t="n">
        <f aca="false">INT(A53-4/24)</f>
        <v>46250</v>
      </c>
    </row>
    <row r="54" customFormat="false" ht="15" hidden="false" customHeight="false" outlineLevel="0" collapsed="false">
      <c r="A54" s="30" t="n">
        <v>46250.7131944444</v>
      </c>
      <c r="B54" s="31" t="s">
        <v>74</v>
      </c>
      <c r="C54" s="31"/>
      <c r="D54" s="31"/>
      <c r="E54" s="31"/>
      <c r="F54" s="26" t="n">
        <f aca="false">INT(A54-4/24)</f>
        <v>46250</v>
      </c>
    </row>
    <row r="55" customFormat="false" ht="15" hidden="false" customHeight="false" outlineLevel="0" collapsed="false">
      <c r="A55" s="30" t="n">
        <v>46250.7534722222</v>
      </c>
      <c r="B55" s="31" t="s">
        <v>80</v>
      </c>
      <c r="C55" s="31"/>
      <c r="D55" s="31"/>
      <c r="E55" s="31"/>
      <c r="F55" s="26" t="n">
        <f aca="false">INT(A55-4/24)</f>
        <v>46250</v>
      </c>
    </row>
    <row r="56" customFormat="false" ht="15" hidden="false" customHeight="false" outlineLevel="0" collapsed="false">
      <c r="A56" s="30" t="n">
        <v>46250.8097222222</v>
      </c>
      <c r="B56" s="31" t="s">
        <v>81</v>
      </c>
      <c r="C56" s="31"/>
      <c r="D56" s="31"/>
      <c r="E56" s="31"/>
      <c r="F56" s="26" t="n">
        <f aca="false">INT(A56-4/24)</f>
        <v>46250</v>
      </c>
    </row>
    <row r="57" customFormat="false" ht="15" hidden="false" customHeight="false" outlineLevel="0" collapsed="false">
      <c r="A57" s="30" t="n">
        <v>46250.8208333333</v>
      </c>
      <c r="B57" s="31" t="s">
        <v>77</v>
      </c>
      <c r="C57" s="31"/>
      <c r="D57" s="31"/>
      <c r="E57" s="31"/>
      <c r="F57" s="26" t="n">
        <f aca="false">INT(A57-4/24)</f>
        <v>46250</v>
      </c>
    </row>
    <row r="58" customFormat="false" ht="15" hidden="false" customHeight="false" outlineLevel="0" collapsed="false">
      <c r="A58" s="30" t="n">
        <v>46250.8652777778</v>
      </c>
      <c r="B58" s="31" t="s">
        <v>74</v>
      </c>
      <c r="C58" s="31"/>
      <c r="D58" s="31"/>
      <c r="E58" s="31"/>
      <c r="F58" s="26" t="n">
        <f aca="false">INT(A58-4/24)</f>
        <v>46250</v>
      </c>
    </row>
    <row r="59" customFormat="false" ht="15" hidden="false" customHeight="false" outlineLevel="0" collapsed="false">
      <c r="A59" s="30" t="n">
        <v>46250.9625</v>
      </c>
      <c r="B59" s="31" t="s">
        <v>74</v>
      </c>
      <c r="C59" s="31"/>
      <c r="D59" s="31"/>
      <c r="E59" s="31"/>
      <c r="F59" s="26" t="n">
        <f aca="false">INT(A59-4/24)</f>
        <v>46250</v>
      </c>
    </row>
    <row r="60" customFormat="false" ht="15" hidden="false" customHeight="false" outlineLevel="0" collapsed="false">
      <c r="A60" s="30" t="n">
        <v>46250.9625</v>
      </c>
      <c r="B60" s="31" t="s">
        <v>77</v>
      </c>
      <c r="C60" s="31"/>
      <c r="D60" s="31"/>
      <c r="E60" s="31"/>
      <c r="F60" s="26" t="n">
        <f aca="false">INT(A60-4/24)</f>
        <v>46250</v>
      </c>
    </row>
    <row r="61" customFormat="false" ht="15" hidden="false" customHeight="false" outlineLevel="0" collapsed="false">
      <c r="A61" s="30" t="n">
        <v>46251.0034722222</v>
      </c>
      <c r="B61" s="31" t="s">
        <v>75</v>
      </c>
      <c r="C61" s="31"/>
      <c r="D61" s="31"/>
      <c r="E61" s="31"/>
      <c r="F61" s="26" t="n">
        <f aca="false">INT(A61-4/24)</f>
        <v>46250</v>
      </c>
    </row>
    <row r="62" customFormat="false" ht="15" hidden="false" customHeight="false" outlineLevel="0" collapsed="false">
      <c r="A62" s="30" t="n">
        <v>46251.0118055556</v>
      </c>
      <c r="B62" s="31" t="s">
        <v>20</v>
      </c>
      <c r="C62" s="31"/>
      <c r="D62" s="31"/>
      <c r="E62" s="31"/>
      <c r="F62" s="26" t="n">
        <f aca="false">INT(A62-4/24)</f>
        <v>46250</v>
      </c>
    </row>
    <row r="63" customFormat="false" ht="15" hidden="false" customHeight="false" outlineLevel="0" collapsed="false">
      <c r="A63" s="30" t="n">
        <v>46251.3340277778</v>
      </c>
      <c r="B63" s="31" t="s">
        <v>79</v>
      </c>
      <c r="C63" s="31"/>
      <c r="D63" s="31"/>
      <c r="E63" s="31"/>
      <c r="F63" s="26" t="n">
        <f aca="false">INT(A63-4/24)</f>
        <v>46251</v>
      </c>
    </row>
    <row r="64" customFormat="false" ht="15" hidden="false" customHeight="false" outlineLevel="0" collapsed="false">
      <c r="A64" s="30" t="n">
        <v>46251.3375</v>
      </c>
      <c r="B64" s="31" t="s">
        <v>79</v>
      </c>
      <c r="C64" s="31"/>
      <c r="D64" s="31"/>
      <c r="E64" s="31"/>
      <c r="F64" s="26" t="n">
        <f aca="false">INT(A64-4/24)</f>
        <v>46251</v>
      </c>
    </row>
    <row r="65" customFormat="false" ht="15" hidden="false" customHeight="false" outlineLevel="0" collapsed="false">
      <c r="A65" s="30" t="n">
        <v>46251.34375</v>
      </c>
      <c r="B65" s="31" t="s">
        <v>74</v>
      </c>
      <c r="C65" s="31"/>
      <c r="D65" s="31"/>
      <c r="E65" s="31"/>
      <c r="F65" s="26" t="n">
        <f aca="false">INT(A65-4/24)</f>
        <v>46251</v>
      </c>
    </row>
    <row r="66" customFormat="false" ht="15" hidden="false" customHeight="false" outlineLevel="0" collapsed="false">
      <c r="A66" s="30" t="n">
        <v>46251.3465277778</v>
      </c>
      <c r="B66" s="31" t="s">
        <v>75</v>
      </c>
      <c r="C66" s="31"/>
      <c r="D66" s="31"/>
      <c r="E66" s="31"/>
      <c r="F66" s="26" t="n">
        <f aca="false">INT(A66-4/24)</f>
        <v>46251</v>
      </c>
    </row>
    <row r="67" customFormat="false" ht="15" hidden="false" customHeight="false" outlineLevel="0" collapsed="false">
      <c r="A67" s="30" t="n">
        <v>46251.3472222222</v>
      </c>
      <c r="B67" s="31" t="s">
        <v>77</v>
      </c>
      <c r="C67" s="31"/>
      <c r="D67" s="31"/>
      <c r="E67" s="31"/>
      <c r="F67" s="26" t="n">
        <f aca="false">INT(A67-4/24)</f>
        <v>46251</v>
      </c>
    </row>
    <row r="68" customFormat="false" ht="15" hidden="false" customHeight="false" outlineLevel="0" collapsed="false">
      <c r="A68" s="30" t="n">
        <v>46251.4131944445</v>
      </c>
      <c r="B68" s="31" t="s">
        <v>80</v>
      </c>
      <c r="C68" s="31"/>
      <c r="D68" s="31"/>
      <c r="E68" s="31"/>
      <c r="F68" s="26" t="n">
        <f aca="false">INT(A68-4/24)</f>
        <v>46251</v>
      </c>
    </row>
    <row r="69" customFormat="false" ht="15" hidden="false" customHeight="false" outlineLevel="0" collapsed="false">
      <c r="A69" s="30" t="n">
        <v>46251.4263888889</v>
      </c>
      <c r="B69" s="31" t="s">
        <v>81</v>
      </c>
      <c r="C69" s="31"/>
      <c r="D69" s="31"/>
      <c r="E69" s="31"/>
      <c r="F69" s="26" t="n">
        <f aca="false">INT(A69-4/24)</f>
        <v>46251</v>
      </c>
    </row>
    <row r="70" customFormat="false" ht="15" hidden="false" customHeight="false" outlineLevel="0" collapsed="false">
      <c r="A70" s="30" t="n">
        <v>46251.4631944444</v>
      </c>
      <c r="B70" s="31" t="s">
        <v>74</v>
      </c>
      <c r="C70" s="31"/>
      <c r="D70" s="31"/>
      <c r="E70" s="31"/>
      <c r="F70" s="26" t="n">
        <f aca="false">INT(A70-4/24)</f>
        <v>46251</v>
      </c>
    </row>
    <row r="71" customFormat="false" ht="15" hidden="false" customHeight="false" outlineLevel="0" collapsed="false">
      <c r="A71" s="30" t="n">
        <v>46251.4638888889</v>
      </c>
      <c r="B71" s="31" t="s">
        <v>77</v>
      </c>
      <c r="C71" s="31"/>
      <c r="D71" s="31"/>
      <c r="E71" s="31"/>
      <c r="F71" s="26" t="n">
        <f aca="false">INT(A71-4/24)</f>
        <v>46251</v>
      </c>
    </row>
    <row r="72" customFormat="false" ht="15" hidden="false" customHeight="false" outlineLevel="0" collapsed="false">
      <c r="A72" s="30" t="n">
        <v>46251.5104166667</v>
      </c>
      <c r="B72" s="31" t="s">
        <v>80</v>
      </c>
      <c r="C72" s="31"/>
      <c r="D72" s="31"/>
      <c r="E72" s="31"/>
      <c r="F72" s="26" t="n">
        <f aca="false">INT(A72-4/24)</f>
        <v>46251</v>
      </c>
    </row>
    <row r="73" customFormat="false" ht="15" hidden="false" customHeight="false" outlineLevel="0" collapsed="false">
      <c r="A73" s="30" t="n">
        <v>46251.5215277778</v>
      </c>
      <c r="B73" s="31" t="s">
        <v>81</v>
      </c>
      <c r="C73" s="31"/>
      <c r="D73" s="31"/>
      <c r="E73" s="31"/>
      <c r="F73" s="26" t="n">
        <f aca="false">INT(A73-4/24)</f>
        <v>46251</v>
      </c>
    </row>
    <row r="74" customFormat="false" ht="15" hidden="false" customHeight="false" outlineLevel="0" collapsed="false">
      <c r="A74" s="30" t="n">
        <v>46251.5388888889</v>
      </c>
      <c r="B74" s="31" t="s">
        <v>74</v>
      </c>
      <c r="C74" s="31"/>
      <c r="D74" s="31"/>
      <c r="E74" s="31"/>
      <c r="F74" s="26" t="n">
        <f aca="false">INT(A74-4/24)</f>
        <v>46251</v>
      </c>
    </row>
    <row r="75" customFormat="false" ht="15" hidden="false" customHeight="false" outlineLevel="0" collapsed="false">
      <c r="A75" s="30" t="n">
        <v>46251.5972222222</v>
      </c>
      <c r="B75" s="31" t="s">
        <v>80</v>
      </c>
      <c r="C75" s="31"/>
      <c r="D75" s="31"/>
      <c r="E75" s="31"/>
      <c r="F75" s="26" t="n">
        <f aca="false">INT(A75-4/24)</f>
        <v>46251</v>
      </c>
    </row>
    <row r="76" customFormat="false" ht="15" hidden="false" customHeight="false" outlineLevel="0" collapsed="false">
      <c r="A76" s="30" t="n">
        <v>46251.6104166667</v>
      </c>
      <c r="B76" s="31" t="s">
        <v>81</v>
      </c>
      <c r="C76" s="31"/>
      <c r="D76" s="31"/>
      <c r="E76" s="31"/>
      <c r="F76" s="26" t="n">
        <f aca="false">INT(A76-4/24)</f>
        <v>46251</v>
      </c>
    </row>
    <row r="77" customFormat="false" ht="15" hidden="false" customHeight="false" outlineLevel="0" collapsed="false">
      <c r="A77" s="30" t="n">
        <v>46251.6125</v>
      </c>
      <c r="B77" s="31" t="s">
        <v>77</v>
      </c>
      <c r="C77" s="31"/>
      <c r="D77" s="31"/>
      <c r="E77" s="31"/>
      <c r="F77" s="26" t="n">
        <f aca="false">INT(A77-4/24)</f>
        <v>46251</v>
      </c>
    </row>
    <row r="78" customFormat="false" ht="15" hidden="false" customHeight="false" outlineLevel="0" collapsed="false">
      <c r="A78" s="30" t="n">
        <v>46251.68125</v>
      </c>
      <c r="B78" s="31" t="s">
        <v>80</v>
      </c>
      <c r="C78" s="31"/>
      <c r="D78" s="31"/>
      <c r="E78" s="31"/>
      <c r="F78" s="26" t="n">
        <f aca="false">INT(A78-4/24)</f>
        <v>46251</v>
      </c>
    </row>
    <row r="79" customFormat="false" ht="15" hidden="false" customHeight="false" outlineLevel="0" collapsed="false">
      <c r="A79" s="30" t="n">
        <v>46251.6944444445</v>
      </c>
      <c r="B79" s="31" t="s">
        <v>81</v>
      </c>
      <c r="C79" s="31"/>
      <c r="D79" s="31"/>
      <c r="E79" s="31"/>
      <c r="F79" s="26" t="n">
        <f aca="false">INT(A79-4/24)</f>
        <v>46251</v>
      </c>
    </row>
    <row r="80" customFormat="false" ht="15" hidden="false" customHeight="false" outlineLevel="0" collapsed="false">
      <c r="A80" s="30" t="n">
        <v>46251.6993055556</v>
      </c>
      <c r="B80" s="31" t="s">
        <v>74</v>
      </c>
      <c r="C80" s="31"/>
      <c r="D80" s="31"/>
      <c r="E80" s="31"/>
      <c r="F80" s="26" t="n">
        <f aca="false">INT(A80-4/24)</f>
        <v>46251</v>
      </c>
    </row>
    <row r="81" customFormat="false" ht="15" hidden="false" customHeight="false" outlineLevel="0" collapsed="false">
      <c r="A81" s="30" t="n">
        <v>46251.7041666667</v>
      </c>
      <c r="B81" s="31" t="s">
        <v>75</v>
      </c>
      <c r="C81" s="31"/>
      <c r="D81" s="31"/>
      <c r="E81" s="31"/>
      <c r="F81" s="26" t="n">
        <f aca="false">INT(A81-4/24)</f>
        <v>46251</v>
      </c>
    </row>
    <row r="82" customFormat="false" ht="15" hidden="false" customHeight="false" outlineLevel="0" collapsed="false">
      <c r="A82" s="30" t="n">
        <v>46251.7104166667</v>
      </c>
      <c r="B82" s="31" t="s">
        <v>77</v>
      </c>
      <c r="C82" s="31"/>
      <c r="D82" s="31"/>
      <c r="E82" s="31"/>
      <c r="F82" s="26" t="n">
        <f aca="false">INT(A82-4/24)</f>
        <v>46251</v>
      </c>
    </row>
    <row r="83" customFormat="false" ht="15" hidden="false" customHeight="false" outlineLevel="0" collapsed="false">
      <c r="A83" s="30" t="n">
        <v>46251.7430555556</v>
      </c>
      <c r="B83" s="31" t="s">
        <v>80</v>
      </c>
      <c r="C83" s="31"/>
      <c r="D83" s="31"/>
      <c r="E83" s="31"/>
      <c r="F83" s="26" t="n">
        <f aca="false">INT(A83-4/24)</f>
        <v>46251</v>
      </c>
    </row>
    <row r="84" customFormat="false" ht="15" hidden="false" customHeight="false" outlineLevel="0" collapsed="false">
      <c r="A84" s="30" t="n">
        <v>46251.76875</v>
      </c>
      <c r="B84" s="31" t="s">
        <v>81</v>
      </c>
      <c r="C84" s="31"/>
      <c r="D84" s="31"/>
      <c r="E84" s="31"/>
      <c r="F84" s="26" t="n">
        <f aca="false">INT(A84-4/24)</f>
        <v>46251</v>
      </c>
    </row>
    <row r="85" customFormat="false" ht="15" hidden="false" customHeight="false" outlineLevel="0" collapsed="false">
      <c r="A85" s="30" t="n">
        <v>46251.8333333333</v>
      </c>
      <c r="B85" s="31" t="s">
        <v>74</v>
      </c>
      <c r="C85" s="31"/>
      <c r="D85" s="31"/>
      <c r="E85" s="31"/>
      <c r="F85" s="26" t="n">
        <f aca="false">INT(A85-4/24)</f>
        <v>46251</v>
      </c>
    </row>
    <row r="86" customFormat="false" ht="15" hidden="false" customHeight="false" outlineLevel="0" collapsed="false">
      <c r="A86" s="30" t="n">
        <v>46251.8368055556</v>
      </c>
      <c r="B86" s="31" t="s">
        <v>77</v>
      </c>
      <c r="C86" s="31"/>
      <c r="D86" s="31"/>
      <c r="E86" s="31"/>
      <c r="F86" s="26" t="n">
        <f aca="false">INT(A86-4/24)</f>
        <v>46251</v>
      </c>
    </row>
    <row r="87" customFormat="false" ht="15" hidden="false" customHeight="false" outlineLevel="0" collapsed="false">
      <c r="A87" s="30" t="n">
        <v>46251.8555555556</v>
      </c>
      <c r="B87" s="31" t="s">
        <v>74</v>
      </c>
      <c r="C87" s="31"/>
      <c r="D87" s="31"/>
      <c r="E87" s="31"/>
      <c r="F87" s="26" t="n">
        <f aca="false">INT(A87-4/24)</f>
        <v>46251</v>
      </c>
    </row>
    <row r="88" customFormat="false" ht="15" hidden="false" customHeight="false" outlineLevel="0" collapsed="false">
      <c r="A88" s="30" t="n">
        <v>46251.9666666667</v>
      </c>
      <c r="B88" s="31" t="s">
        <v>77</v>
      </c>
      <c r="C88" s="31"/>
      <c r="D88" s="31"/>
      <c r="E88" s="31"/>
      <c r="F88" s="26" t="n">
        <f aca="false">INT(A88-4/24)</f>
        <v>46251</v>
      </c>
    </row>
    <row r="89" customFormat="false" ht="15" hidden="false" customHeight="false" outlineLevel="0" collapsed="false">
      <c r="A89" s="30" t="n">
        <v>46252.0069444445</v>
      </c>
      <c r="B89" s="31" t="s">
        <v>75</v>
      </c>
      <c r="C89" s="31"/>
      <c r="D89" s="31"/>
      <c r="E89" s="31"/>
      <c r="F89" s="26" t="n">
        <f aca="false">INT(A89-4/24)</f>
        <v>46251</v>
      </c>
    </row>
    <row r="90" customFormat="false" ht="15" hidden="false" customHeight="false" outlineLevel="0" collapsed="false">
      <c r="A90" s="30" t="n">
        <v>46252.0069444445</v>
      </c>
      <c r="B90" s="31" t="s">
        <v>20</v>
      </c>
      <c r="C90" s="31"/>
      <c r="D90" s="31"/>
      <c r="E90" s="31"/>
      <c r="F90" s="26" t="n">
        <f aca="false">INT(A90-4/24)</f>
        <v>46251</v>
      </c>
    </row>
    <row r="91" customFormat="false" ht="15" hidden="false" customHeight="false" outlineLevel="0" collapsed="false">
      <c r="A91" s="30" t="n">
        <v>46252.2951388889</v>
      </c>
      <c r="B91" s="31" t="s">
        <v>79</v>
      </c>
      <c r="C91" s="31"/>
      <c r="D91" s="31"/>
      <c r="E91" s="31"/>
      <c r="F91" s="26" t="n">
        <f aca="false">INT(A91-4/24)</f>
        <v>46252</v>
      </c>
    </row>
    <row r="92" customFormat="false" ht="15" hidden="false" customHeight="false" outlineLevel="0" collapsed="false">
      <c r="A92" s="30" t="n">
        <v>46252.3020833333</v>
      </c>
      <c r="B92" s="31" t="s">
        <v>74</v>
      </c>
      <c r="C92" s="31"/>
      <c r="D92" s="31"/>
      <c r="E92" s="31"/>
      <c r="F92" s="26" t="n">
        <f aca="false">INT(A92-4/24)</f>
        <v>46252</v>
      </c>
    </row>
    <row r="93" customFormat="false" ht="15" hidden="false" customHeight="false" outlineLevel="0" collapsed="false">
      <c r="A93" s="30" t="n">
        <v>46252.3020833333</v>
      </c>
      <c r="B93" s="31" t="s">
        <v>77</v>
      </c>
      <c r="C93" s="31"/>
      <c r="D93" s="31"/>
      <c r="E93" s="31"/>
      <c r="F93" s="26" t="n">
        <f aca="false">INT(A93-4/24)</f>
        <v>46252</v>
      </c>
    </row>
    <row r="94" customFormat="false" ht="15" hidden="false" customHeight="false" outlineLevel="0" collapsed="false">
      <c r="A94" s="30" t="n">
        <v>46252.3409722222</v>
      </c>
      <c r="B94" s="31" t="s">
        <v>75</v>
      </c>
      <c r="C94" s="31"/>
      <c r="D94" s="31"/>
      <c r="E94" s="31"/>
      <c r="F94" s="26" t="n">
        <f aca="false">INT(A94-4/24)</f>
        <v>46252</v>
      </c>
    </row>
    <row r="95" customFormat="false" ht="15" hidden="false" customHeight="false" outlineLevel="0" collapsed="false">
      <c r="A95" s="30" t="n">
        <v>46252.3576388889</v>
      </c>
      <c r="B95" s="31" t="s">
        <v>80</v>
      </c>
      <c r="C95" s="31"/>
      <c r="D95" s="31"/>
      <c r="E95" s="31"/>
      <c r="F95" s="26" t="n">
        <f aca="false">INT(A95-4/24)</f>
        <v>46252</v>
      </c>
    </row>
    <row r="96" customFormat="false" ht="15" hidden="false" customHeight="false" outlineLevel="0" collapsed="false">
      <c r="A96" s="30" t="n">
        <v>46252.3763888889</v>
      </c>
      <c r="B96" s="31" t="s">
        <v>81</v>
      </c>
      <c r="C96" s="31"/>
      <c r="D96" s="31"/>
      <c r="E96" s="31"/>
      <c r="F96" s="26" t="n">
        <f aca="false">INT(A96-4/24)</f>
        <v>46252</v>
      </c>
    </row>
    <row r="97" customFormat="false" ht="15" hidden="false" customHeight="false" outlineLevel="0" collapsed="false">
      <c r="A97" s="30" t="n">
        <v>46252.40625</v>
      </c>
      <c r="B97" s="31" t="s">
        <v>74</v>
      </c>
      <c r="C97" s="31"/>
      <c r="D97" s="31"/>
      <c r="E97" s="31"/>
      <c r="F97" s="26" t="n">
        <f aca="false">INT(A97-4/24)</f>
        <v>46252</v>
      </c>
    </row>
    <row r="98" customFormat="false" ht="15" hidden="false" customHeight="false" outlineLevel="0" collapsed="false">
      <c r="A98" s="30" t="n">
        <v>46252.4166666667</v>
      </c>
      <c r="B98" s="31" t="s">
        <v>77</v>
      </c>
      <c r="C98" s="31"/>
      <c r="D98" s="31"/>
      <c r="E98" s="31"/>
      <c r="F98" s="26" t="n">
        <f aca="false">INT(A98-4/24)</f>
        <v>46252</v>
      </c>
    </row>
    <row r="99" customFormat="false" ht="15" hidden="false" customHeight="false" outlineLevel="0" collapsed="false">
      <c r="A99" s="30" t="n">
        <v>46252.4756944445</v>
      </c>
      <c r="B99" s="31" t="s">
        <v>74</v>
      </c>
      <c r="C99" s="31"/>
      <c r="D99" s="31"/>
      <c r="E99" s="31"/>
      <c r="F99" s="26" t="n">
        <f aca="false">INT(A99-4/24)</f>
        <v>46252</v>
      </c>
    </row>
    <row r="100" customFormat="false" ht="15" hidden="false" customHeight="false" outlineLevel="0" collapsed="false">
      <c r="A100" s="30" t="n">
        <v>46252.4833333333</v>
      </c>
      <c r="B100" s="31" t="s">
        <v>80</v>
      </c>
      <c r="C100" s="31"/>
      <c r="D100" s="31"/>
      <c r="E100" s="31"/>
      <c r="F100" s="26" t="n">
        <f aca="false">INT(A100-4/24)</f>
        <v>46252</v>
      </c>
    </row>
    <row r="101" customFormat="false" ht="15" hidden="false" customHeight="false" outlineLevel="0" collapsed="false">
      <c r="A101" s="30" t="n">
        <v>46252.5104166667</v>
      </c>
      <c r="B101" s="31" t="s">
        <v>81</v>
      </c>
      <c r="C101" s="31"/>
      <c r="D101" s="31"/>
      <c r="E101" s="31"/>
      <c r="F101" s="26" t="n">
        <f aca="false">INT(A101-4/24)</f>
        <v>46252</v>
      </c>
    </row>
    <row r="102" customFormat="false" ht="15" hidden="false" customHeight="false" outlineLevel="0" collapsed="false">
      <c r="A102" s="30" t="n">
        <v>46252.5416666667</v>
      </c>
      <c r="B102" s="31" t="s">
        <v>74</v>
      </c>
      <c r="C102" s="31"/>
      <c r="D102" s="31"/>
      <c r="E102" s="31"/>
      <c r="F102" s="26" t="n">
        <f aca="false">INT(A102-4/24)</f>
        <v>46252</v>
      </c>
    </row>
    <row r="103" customFormat="false" ht="15" hidden="false" customHeight="false" outlineLevel="0" collapsed="false">
      <c r="A103" s="30" t="n">
        <v>46252.5458333333</v>
      </c>
      <c r="B103" s="31" t="s">
        <v>77</v>
      </c>
      <c r="C103" s="31"/>
      <c r="D103" s="31"/>
      <c r="E103" s="31"/>
      <c r="F103" s="26" t="n">
        <f aca="false">INT(A103-4/24)</f>
        <v>46252</v>
      </c>
    </row>
    <row r="104" customFormat="false" ht="15" hidden="false" customHeight="false" outlineLevel="0" collapsed="false">
      <c r="A104" s="30" t="n">
        <v>46252.6472222222</v>
      </c>
      <c r="B104" s="31" t="s">
        <v>74</v>
      </c>
      <c r="C104" s="31"/>
      <c r="D104" s="31"/>
      <c r="E104" s="31"/>
      <c r="F104" s="26" t="n">
        <f aca="false">INT(A104-4/24)</f>
        <v>46252</v>
      </c>
    </row>
    <row r="105" customFormat="false" ht="15" hidden="false" customHeight="false" outlineLevel="0" collapsed="false">
      <c r="A105" s="30" t="n">
        <v>46252.6631944445</v>
      </c>
      <c r="B105" s="31" t="s">
        <v>80</v>
      </c>
      <c r="C105" s="31"/>
      <c r="D105" s="31"/>
      <c r="E105" s="31"/>
      <c r="F105" s="26" t="n">
        <f aca="false">INT(A105-4/24)</f>
        <v>46252</v>
      </c>
    </row>
    <row r="106" customFormat="false" ht="15" hidden="false" customHeight="false" outlineLevel="0" collapsed="false">
      <c r="A106" s="30" t="n">
        <v>46252.6729166667</v>
      </c>
      <c r="B106" s="31" t="s">
        <v>81</v>
      </c>
      <c r="C106" s="31"/>
      <c r="D106" s="31"/>
      <c r="E106" s="31"/>
      <c r="F106" s="26" t="n">
        <f aca="false">INT(A106-4/24)</f>
        <v>46252</v>
      </c>
    </row>
    <row r="107" customFormat="false" ht="15" hidden="false" customHeight="false" outlineLevel="0" collapsed="false">
      <c r="A107" s="30" t="n">
        <v>46252.6895833333</v>
      </c>
      <c r="B107" s="31" t="s">
        <v>77</v>
      </c>
      <c r="C107" s="31"/>
      <c r="D107" s="31"/>
      <c r="E107" s="31"/>
      <c r="F107" s="26" t="n">
        <f aca="false">INT(A107-4/24)</f>
        <v>46252</v>
      </c>
    </row>
    <row r="108" customFormat="false" ht="15" hidden="false" customHeight="false" outlineLevel="0" collapsed="false">
      <c r="A108" s="30" t="n">
        <v>46252.6944444445</v>
      </c>
      <c r="B108" s="31" t="s">
        <v>75</v>
      </c>
      <c r="C108" s="31"/>
      <c r="D108" s="31"/>
      <c r="E108" s="31"/>
      <c r="F108" s="26" t="n">
        <f aca="false">INT(A108-4/24)</f>
        <v>46252</v>
      </c>
    </row>
    <row r="109" customFormat="false" ht="15" hidden="false" customHeight="false" outlineLevel="0" collapsed="false">
      <c r="A109" s="30" t="n">
        <v>46252.7222222222</v>
      </c>
      <c r="B109" s="31" t="s">
        <v>80</v>
      </c>
      <c r="C109" s="31"/>
      <c r="D109" s="31"/>
      <c r="E109" s="31"/>
      <c r="F109" s="26" t="n">
        <f aca="false">INT(A109-4/24)</f>
        <v>46252</v>
      </c>
    </row>
    <row r="110" customFormat="false" ht="15" hidden="false" customHeight="false" outlineLevel="0" collapsed="false">
      <c r="A110" s="30" t="n">
        <v>46252.7909722222</v>
      </c>
      <c r="B110" s="31" t="s">
        <v>81</v>
      </c>
      <c r="C110" s="31"/>
      <c r="D110" s="31"/>
      <c r="E110" s="31"/>
      <c r="F110" s="26" t="n">
        <f aca="false">INT(A110-4/24)</f>
        <v>46252</v>
      </c>
    </row>
    <row r="111" customFormat="false" ht="15" hidden="false" customHeight="false" outlineLevel="0" collapsed="false">
      <c r="A111" s="30" t="n">
        <v>46252.7986111111</v>
      </c>
      <c r="B111" s="31" t="s">
        <v>74</v>
      </c>
      <c r="C111" s="31"/>
      <c r="D111" s="31"/>
      <c r="E111" s="31"/>
      <c r="F111" s="26" t="n">
        <f aca="false">INT(A111-4/24)</f>
        <v>46252</v>
      </c>
    </row>
    <row r="112" customFormat="false" ht="15" hidden="false" customHeight="false" outlineLevel="0" collapsed="false">
      <c r="A112" s="30" t="n">
        <v>46252.8243055556</v>
      </c>
      <c r="B112" s="31" t="s">
        <v>77</v>
      </c>
      <c r="C112" s="31"/>
      <c r="D112" s="31"/>
      <c r="E112" s="31"/>
      <c r="F112" s="26" t="n">
        <f aca="false">INT(A112-4/24)</f>
        <v>46252</v>
      </c>
    </row>
    <row r="113" customFormat="false" ht="15" hidden="false" customHeight="false" outlineLevel="0" collapsed="false">
      <c r="A113" s="30" t="n">
        <v>46252.9479166667</v>
      </c>
      <c r="B113" s="31" t="s">
        <v>74</v>
      </c>
      <c r="C113" s="31"/>
      <c r="D113" s="31"/>
      <c r="E113" s="31"/>
      <c r="F113" s="26" t="n">
        <f aca="false">INT(A113-4/24)</f>
        <v>46252</v>
      </c>
    </row>
    <row r="114" customFormat="false" ht="15" hidden="false" customHeight="false" outlineLevel="0" collapsed="false">
      <c r="A114" s="30" t="n">
        <v>46252.9583333333</v>
      </c>
      <c r="B114" s="31" t="s">
        <v>77</v>
      </c>
      <c r="C114" s="31"/>
      <c r="D114" s="31"/>
      <c r="E114" s="31"/>
      <c r="F114" s="26" t="n">
        <f aca="false">INT(A114-4/24)</f>
        <v>46252</v>
      </c>
    </row>
    <row r="115" customFormat="false" ht="15" hidden="false" customHeight="false" outlineLevel="0" collapsed="false">
      <c r="A115" s="30" t="n">
        <v>46252.9979166667</v>
      </c>
      <c r="B115" s="31" t="s">
        <v>75</v>
      </c>
      <c r="C115" s="31"/>
      <c r="D115" s="31"/>
      <c r="E115" s="31"/>
      <c r="F115" s="26" t="n">
        <f aca="false">INT(A115-4/24)</f>
        <v>46252</v>
      </c>
    </row>
    <row r="116" customFormat="false" ht="15" hidden="false" customHeight="false" outlineLevel="0" collapsed="false">
      <c r="A116" s="30" t="n">
        <v>46253.3229166667</v>
      </c>
      <c r="B116" s="31" t="s">
        <v>74</v>
      </c>
      <c r="C116" s="31"/>
      <c r="D116" s="31"/>
      <c r="E116" s="31"/>
      <c r="F116" s="26" t="n">
        <f aca="false">INT(A116-4/24)</f>
        <v>46253</v>
      </c>
    </row>
    <row r="117" customFormat="false" ht="15" hidden="false" customHeight="false" outlineLevel="0" collapsed="false">
      <c r="A117" s="30" t="n">
        <v>46253.3236111111</v>
      </c>
      <c r="B117" s="31" t="s">
        <v>79</v>
      </c>
      <c r="C117" s="31"/>
      <c r="D117" s="31"/>
      <c r="E117" s="31"/>
      <c r="F117" s="26" t="n">
        <f aca="false">INT(A117-4/24)</f>
        <v>46253</v>
      </c>
    </row>
    <row r="118" customFormat="false" ht="15" hidden="false" customHeight="false" outlineLevel="0" collapsed="false">
      <c r="A118" s="30" t="n">
        <v>46253.3340277778</v>
      </c>
      <c r="B118" s="31" t="s">
        <v>74</v>
      </c>
      <c r="C118" s="31"/>
      <c r="D118" s="31"/>
      <c r="E118" s="31"/>
      <c r="F118" s="26" t="n">
        <f aca="false">INT(A118-4/24)</f>
        <v>46253</v>
      </c>
    </row>
    <row r="119" customFormat="false" ht="15" hidden="false" customHeight="false" outlineLevel="0" collapsed="false">
      <c r="A119" s="30" t="n">
        <v>46253.3340277778</v>
      </c>
      <c r="B119" s="31" t="s">
        <v>75</v>
      </c>
      <c r="C119" s="31"/>
      <c r="D119" s="31"/>
      <c r="E119" s="31"/>
      <c r="F119" s="26" t="n">
        <f aca="false">INT(A119-4/24)</f>
        <v>46253</v>
      </c>
    </row>
    <row r="120" customFormat="false" ht="15" hidden="false" customHeight="false" outlineLevel="0" collapsed="false">
      <c r="A120" s="30" t="n">
        <v>46253.3354166667</v>
      </c>
      <c r="B120" s="31" t="s">
        <v>77</v>
      </c>
      <c r="C120" s="31"/>
      <c r="D120" s="31"/>
      <c r="E120" s="31"/>
      <c r="F120" s="26" t="n">
        <f aca="false">INT(A120-4/24)</f>
        <v>46253</v>
      </c>
    </row>
    <row r="121" customFormat="false" ht="15" hidden="false" customHeight="false" outlineLevel="0" collapsed="false">
      <c r="A121" s="30" t="n">
        <v>46253.4305555556</v>
      </c>
      <c r="B121" s="31" t="s">
        <v>74</v>
      </c>
      <c r="C121" s="31"/>
      <c r="D121" s="31"/>
      <c r="E121" s="31"/>
      <c r="F121" s="26" t="n">
        <f aca="false">INT(A121-4/24)</f>
        <v>46253</v>
      </c>
    </row>
    <row r="122" customFormat="false" ht="15" hidden="false" customHeight="false" outlineLevel="0" collapsed="false">
      <c r="A122" s="30" t="n">
        <v>46253.4375</v>
      </c>
      <c r="B122" s="31" t="s">
        <v>77</v>
      </c>
      <c r="C122" s="31"/>
      <c r="D122" s="31"/>
      <c r="E122" s="31"/>
      <c r="F122" s="26" t="n">
        <f aca="false">INT(A122-4/24)</f>
        <v>46253</v>
      </c>
    </row>
    <row r="123" customFormat="false" ht="15" hidden="false" customHeight="false" outlineLevel="0" collapsed="false">
      <c r="A123" s="30" t="n">
        <v>46253.4791666667</v>
      </c>
      <c r="B123" s="31" t="s">
        <v>80</v>
      </c>
      <c r="C123" s="31"/>
      <c r="D123" s="31"/>
      <c r="E123" s="31"/>
      <c r="F123" s="26" t="n">
        <f aca="false">INT(A123-4/24)</f>
        <v>46253</v>
      </c>
    </row>
    <row r="124" customFormat="false" ht="15" hidden="false" customHeight="false" outlineLevel="0" collapsed="false">
      <c r="A124" s="30" t="n">
        <v>46253.5111111111</v>
      </c>
      <c r="B124" s="31" t="s">
        <v>81</v>
      </c>
      <c r="C124" s="31"/>
      <c r="D124" s="31"/>
      <c r="E124" s="31"/>
      <c r="F124" s="26" t="n">
        <f aca="false">INT(A124-4/24)</f>
        <v>46253</v>
      </c>
    </row>
    <row r="125" customFormat="false" ht="15" hidden="false" customHeight="false" outlineLevel="0" collapsed="false">
      <c r="A125" s="30" t="n">
        <v>46253.5208333333</v>
      </c>
      <c r="B125" s="31" t="s">
        <v>80</v>
      </c>
      <c r="C125" s="31"/>
      <c r="D125" s="31"/>
      <c r="E125" s="31"/>
      <c r="F125" s="26" t="n">
        <f aca="false">INT(A125-4/24)</f>
        <v>46253</v>
      </c>
    </row>
    <row r="126" customFormat="false" ht="15" hidden="false" customHeight="false" outlineLevel="0" collapsed="false">
      <c r="A126" s="30" t="n">
        <v>46253.5416666667</v>
      </c>
      <c r="B126" s="31" t="s">
        <v>81</v>
      </c>
      <c r="C126" s="31"/>
      <c r="D126" s="31"/>
      <c r="E126" s="31"/>
      <c r="F126" s="26" t="n">
        <f aca="false">INT(A126-4/24)</f>
        <v>46253</v>
      </c>
    </row>
    <row r="127" customFormat="false" ht="15" hidden="false" customHeight="false" outlineLevel="0" collapsed="false">
      <c r="A127" s="30" t="n">
        <v>46253.5736111111</v>
      </c>
      <c r="B127" s="31" t="s">
        <v>74</v>
      </c>
      <c r="C127" s="31"/>
      <c r="D127" s="31"/>
      <c r="E127" s="31"/>
      <c r="F127" s="26" t="n">
        <f aca="false">INT(A127-4/24)</f>
        <v>46253</v>
      </c>
    </row>
    <row r="128" customFormat="false" ht="15" hidden="false" customHeight="false" outlineLevel="0" collapsed="false">
      <c r="A128" s="30" t="n">
        <v>46253.5791666667</v>
      </c>
      <c r="B128" s="31" t="s">
        <v>77</v>
      </c>
      <c r="C128" s="31"/>
      <c r="D128" s="31"/>
      <c r="E128" s="31"/>
      <c r="F128" s="26" t="n">
        <f aca="false">INT(A128-4/24)</f>
        <v>46253</v>
      </c>
    </row>
    <row r="129" customFormat="false" ht="15" hidden="false" customHeight="false" outlineLevel="0" collapsed="false">
      <c r="A129" s="30" t="n">
        <v>46253.5972222222</v>
      </c>
      <c r="B129" s="31" t="s">
        <v>74</v>
      </c>
      <c r="C129" s="31"/>
      <c r="D129" s="31"/>
      <c r="E129" s="31"/>
      <c r="F129" s="26" t="n">
        <f aca="false">INT(A129-4/24)</f>
        <v>46253</v>
      </c>
    </row>
    <row r="130" customFormat="false" ht="15" hidden="false" customHeight="false" outlineLevel="0" collapsed="false">
      <c r="A130" s="30" t="n">
        <v>46253.6395833333</v>
      </c>
      <c r="B130" s="31" t="s">
        <v>80</v>
      </c>
      <c r="C130" s="31"/>
      <c r="D130" s="31"/>
      <c r="E130" s="31"/>
      <c r="F130" s="26" t="n">
        <f aca="false">INT(A130-4/24)</f>
        <v>46253</v>
      </c>
    </row>
    <row r="131" customFormat="false" ht="15" hidden="false" customHeight="false" outlineLevel="0" collapsed="false">
      <c r="A131" s="30" t="n">
        <v>46253.6569444445</v>
      </c>
      <c r="B131" s="31" t="s">
        <v>81</v>
      </c>
      <c r="C131" s="31"/>
      <c r="D131" s="31"/>
      <c r="E131" s="31"/>
      <c r="F131" s="26" t="n">
        <f aca="false">INT(A131-4/24)</f>
        <v>46253</v>
      </c>
    </row>
    <row r="132" customFormat="false" ht="15" hidden="false" customHeight="false" outlineLevel="0" collapsed="false">
      <c r="A132" s="30" t="n">
        <v>46253.6888888889</v>
      </c>
      <c r="B132" s="31" t="s">
        <v>75</v>
      </c>
      <c r="C132" s="31"/>
      <c r="D132" s="31"/>
      <c r="E132" s="31"/>
      <c r="F132" s="26" t="n">
        <f aca="false">INT(A132-4/24)</f>
        <v>46253</v>
      </c>
    </row>
    <row r="133" customFormat="false" ht="15" hidden="false" customHeight="false" outlineLevel="0" collapsed="false">
      <c r="A133" s="30" t="n">
        <v>46253.6888888889</v>
      </c>
      <c r="B133" s="31" t="s">
        <v>77</v>
      </c>
      <c r="C133" s="31"/>
      <c r="D133" s="31"/>
      <c r="E133" s="31"/>
      <c r="F133" s="26" t="n">
        <f aca="false">INT(A133-4/24)</f>
        <v>46253</v>
      </c>
    </row>
    <row r="134" customFormat="false" ht="15" hidden="false" customHeight="false" outlineLevel="0" collapsed="false">
      <c r="A134" s="30" t="n">
        <v>46253.7777777778</v>
      </c>
      <c r="B134" s="31" t="s">
        <v>74</v>
      </c>
      <c r="C134" s="31"/>
      <c r="D134" s="31"/>
      <c r="E134" s="31"/>
      <c r="F134" s="26" t="n">
        <f aca="false">INT(A134-4/24)</f>
        <v>46253</v>
      </c>
    </row>
    <row r="135" customFormat="false" ht="15" hidden="false" customHeight="false" outlineLevel="0" collapsed="false">
      <c r="A135" s="30" t="n">
        <v>46253.8125</v>
      </c>
      <c r="B135" s="31" t="s">
        <v>80</v>
      </c>
      <c r="C135" s="31"/>
      <c r="D135" s="31"/>
      <c r="E135" s="31"/>
      <c r="F135" s="26" t="n">
        <f aca="false">INT(A135-4/24)</f>
        <v>46253</v>
      </c>
    </row>
    <row r="136" customFormat="false" ht="15" hidden="false" customHeight="false" outlineLevel="0" collapsed="false">
      <c r="A136" s="30" t="n">
        <v>46253.8284722222</v>
      </c>
      <c r="B136" s="31" t="s">
        <v>81</v>
      </c>
      <c r="C136" s="31"/>
      <c r="D136" s="31"/>
      <c r="E136" s="31"/>
      <c r="F136" s="26" t="n">
        <f aca="false">INT(A136-4/24)</f>
        <v>46253</v>
      </c>
    </row>
    <row r="137" customFormat="false" ht="15" hidden="false" customHeight="false" outlineLevel="0" collapsed="false">
      <c r="A137" s="30" t="n">
        <v>46253.8284722222</v>
      </c>
      <c r="B137" s="31" t="s">
        <v>77</v>
      </c>
      <c r="C137" s="31"/>
      <c r="D137" s="31"/>
      <c r="E137" s="31"/>
      <c r="F137" s="26" t="n">
        <f aca="false">INT(A137-4/24)</f>
        <v>46253</v>
      </c>
    </row>
    <row r="138" customFormat="false" ht="15" hidden="false" customHeight="false" outlineLevel="0" collapsed="false">
      <c r="A138" s="30" t="n">
        <v>46253.95625</v>
      </c>
      <c r="B138" s="31" t="s">
        <v>74</v>
      </c>
      <c r="C138" s="31"/>
      <c r="D138" s="31"/>
      <c r="E138" s="31"/>
      <c r="F138" s="26" t="n">
        <f aca="false">INT(A138-4/24)</f>
        <v>46253</v>
      </c>
    </row>
    <row r="139" customFormat="false" ht="15" hidden="false" customHeight="false" outlineLevel="0" collapsed="false">
      <c r="A139" s="30" t="n">
        <v>46253.95625</v>
      </c>
      <c r="B139" s="31" t="s">
        <v>77</v>
      </c>
      <c r="C139" s="31"/>
      <c r="D139" s="31"/>
      <c r="E139" s="31"/>
      <c r="F139" s="26" t="n">
        <f aca="false">INT(A139-4/24)</f>
        <v>46253</v>
      </c>
    </row>
    <row r="140" customFormat="false" ht="15" hidden="false" customHeight="false" outlineLevel="0" collapsed="false">
      <c r="A140" s="30" t="n">
        <v>46254</v>
      </c>
      <c r="B140" s="31" t="s">
        <v>75</v>
      </c>
      <c r="C140" s="31"/>
      <c r="D140" s="31"/>
      <c r="E140" s="31"/>
      <c r="F140" s="26" t="n">
        <f aca="false">INT(A140-4/24)</f>
        <v>46253</v>
      </c>
    </row>
    <row r="141" customFormat="false" ht="15" hidden="false" customHeight="false" outlineLevel="0" collapsed="false">
      <c r="A141" s="30" t="n">
        <v>46254.0194444444</v>
      </c>
      <c r="B141" s="31" t="s">
        <v>20</v>
      </c>
      <c r="C141" s="31"/>
      <c r="D141" s="31"/>
      <c r="E141" s="31"/>
      <c r="F141" s="26" t="n">
        <f aca="false">INT(A141-4/24)</f>
        <v>46253</v>
      </c>
    </row>
    <row r="142" customFormat="false" ht="15" hidden="false" customHeight="false" outlineLevel="0" collapsed="false">
      <c r="A142" s="30" t="n">
        <v>46254.3194444445</v>
      </c>
      <c r="B142" s="31" t="s">
        <v>79</v>
      </c>
      <c r="C142" s="31"/>
      <c r="D142" s="31"/>
      <c r="E142" s="31"/>
      <c r="F142" s="26" t="n">
        <f aca="false">INT(A142-4/24)</f>
        <v>46254</v>
      </c>
    </row>
    <row r="143" customFormat="false" ht="15" hidden="false" customHeight="false" outlineLevel="0" collapsed="false">
      <c r="A143" s="30" t="n">
        <v>46254.3263888889</v>
      </c>
      <c r="B143" s="31" t="s">
        <v>79</v>
      </c>
      <c r="C143" s="31"/>
      <c r="D143" s="31"/>
      <c r="E143" s="31"/>
      <c r="F143" s="26" t="n">
        <f aca="false">INT(A143-4/24)</f>
        <v>46254</v>
      </c>
    </row>
    <row r="144" customFormat="false" ht="15" hidden="false" customHeight="false" outlineLevel="0" collapsed="false">
      <c r="A144" s="30" t="n">
        <v>46254.3298611111</v>
      </c>
      <c r="B144" s="31" t="s">
        <v>74</v>
      </c>
      <c r="C144" s="31"/>
      <c r="D144" s="31"/>
      <c r="E144" s="31"/>
      <c r="F144" s="26" t="n">
        <f aca="false">INT(A144-4/24)</f>
        <v>46254</v>
      </c>
    </row>
    <row r="145" customFormat="false" ht="15" hidden="false" customHeight="false" outlineLevel="0" collapsed="false">
      <c r="A145" s="30" t="n">
        <v>46254.3319444444</v>
      </c>
      <c r="B145" s="31" t="s">
        <v>75</v>
      </c>
      <c r="C145" s="31"/>
      <c r="D145" s="31"/>
      <c r="E145" s="31"/>
      <c r="F145" s="26" t="n">
        <f aca="false">INT(A145-4/24)</f>
        <v>46254</v>
      </c>
    </row>
    <row r="146" customFormat="false" ht="15" hidden="false" customHeight="false" outlineLevel="0" collapsed="false">
      <c r="A146" s="30" t="n">
        <v>46254.3319444444</v>
      </c>
      <c r="B146" s="31" t="s">
        <v>77</v>
      </c>
      <c r="C146" s="31"/>
      <c r="D146" s="31"/>
      <c r="E146" s="31"/>
      <c r="F146" s="26" t="n">
        <f aca="false">INT(A146-4/24)</f>
        <v>46254</v>
      </c>
    </row>
    <row r="147" customFormat="false" ht="15" hidden="false" customHeight="false" outlineLevel="0" collapsed="false">
      <c r="A147" s="30" t="n">
        <v>46254.4548611111</v>
      </c>
      <c r="B147" s="31" t="s">
        <v>80</v>
      </c>
      <c r="C147" s="31"/>
      <c r="D147" s="31"/>
      <c r="E147" s="31"/>
      <c r="F147" s="26" t="n">
        <f aca="false">INT(A147-4/24)</f>
        <v>46254</v>
      </c>
    </row>
    <row r="148" customFormat="false" ht="15" hidden="false" customHeight="false" outlineLevel="0" collapsed="false">
      <c r="A148" s="30" t="n">
        <v>46254.4756944445</v>
      </c>
      <c r="B148" s="31" t="s">
        <v>81</v>
      </c>
      <c r="C148" s="31"/>
      <c r="D148" s="31"/>
      <c r="E148" s="31"/>
      <c r="F148" s="26" t="n">
        <f aca="false">INT(A148-4/24)</f>
        <v>46254</v>
      </c>
    </row>
    <row r="149" customFormat="false" ht="15" hidden="false" customHeight="false" outlineLevel="0" collapsed="false">
      <c r="A149" s="30" t="n">
        <v>46254.4777777778</v>
      </c>
      <c r="B149" s="31" t="s">
        <v>77</v>
      </c>
      <c r="C149" s="31"/>
      <c r="D149" s="31"/>
      <c r="E149" s="31"/>
      <c r="F149" s="26" t="n">
        <f aca="false">INT(A149-4/24)</f>
        <v>46254</v>
      </c>
    </row>
    <row r="150" customFormat="false" ht="15" hidden="false" customHeight="false" outlineLevel="0" collapsed="false">
      <c r="A150" s="30" t="n">
        <v>46254.5208333333</v>
      </c>
      <c r="B150" s="31" t="s">
        <v>74</v>
      </c>
      <c r="C150" s="31"/>
      <c r="D150" s="31"/>
      <c r="E150" s="31"/>
      <c r="F150" s="26" t="n">
        <f aca="false">INT(A150-4/24)</f>
        <v>46254</v>
      </c>
    </row>
    <row r="151" customFormat="false" ht="15" hidden="false" customHeight="false" outlineLevel="0" collapsed="false">
      <c r="A151" s="30" t="n">
        <v>46254.6034722222</v>
      </c>
      <c r="B151" s="31" t="s">
        <v>77</v>
      </c>
      <c r="C151" s="31"/>
      <c r="D151" s="31"/>
      <c r="E151" s="31"/>
      <c r="F151" s="26" t="n">
        <f aca="false">INT(A151-4/24)</f>
        <v>46254</v>
      </c>
    </row>
    <row r="152" customFormat="false" ht="15" hidden="false" customHeight="false" outlineLevel="0" collapsed="false">
      <c r="A152" s="30" t="n">
        <v>46254.6875</v>
      </c>
      <c r="B152" s="31" t="s">
        <v>75</v>
      </c>
      <c r="C152" s="31"/>
      <c r="D152" s="31"/>
      <c r="E152" s="31"/>
      <c r="F152" s="26" t="n">
        <f aca="false">INT(A152-4/24)</f>
        <v>46254</v>
      </c>
    </row>
    <row r="153" customFormat="false" ht="15" hidden="false" customHeight="false" outlineLevel="0" collapsed="false">
      <c r="A153" s="30" t="n">
        <v>46254.7048611111</v>
      </c>
      <c r="B153" s="31" t="s">
        <v>74</v>
      </c>
      <c r="C153" s="31"/>
      <c r="D153" s="31"/>
      <c r="E153" s="31"/>
      <c r="F153" s="26" t="n">
        <f aca="false">INT(A153-4/24)</f>
        <v>46254</v>
      </c>
    </row>
    <row r="154" customFormat="false" ht="15" hidden="false" customHeight="false" outlineLevel="0" collapsed="false">
      <c r="A154" s="30" t="n">
        <v>46254.7111111111</v>
      </c>
      <c r="B154" s="31" t="s">
        <v>77</v>
      </c>
      <c r="C154" s="31"/>
      <c r="D154" s="31"/>
      <c r="E154" s="31"/>
      <c r="F154" s="26" t="n">
        <f aca="false">INT(A154-4/24)</f>
        <v>46254</v>
      </c>
    </row>
    <row r="155" customFormat="false" ht="15" hidden="false" customHeight="false" outlineLevel="0" collapsed="false">
      <c r="A155" s="30" t="n">
        <v>46254.8333333333</v>
      </c>
      <c r="B155" s="31" t="s">
        <v>74</v>
      </c>
      <c r="C155" s="31"/>
      <c r="D155" s="31"/>
      <c r="E155" s="31"/>
      <c r="F155" s="26" t="n">
        <f aca="false">INT(A155-4/24)</f>
        <v>46254</v>
      </c>
    </row>
    <row r="156" customFormat="false" ht="15" hidden="false" customHeight="false" outlineLevel="0" collapsed="false">
      <c r="A156" s="30" t="n">
        <v>46254.8388888889</v>
      </c>
      <c r="B156" s="31" t="s">
        <v>80</v>
      </c>
      <c r="C156" s="31"/>
      <c r="D156" s="31"/>
      <c r="E156" s="31"/>
      <c r="F156" s="26" t="n">
        <f aca="false">INT(A156-4/24)</f>
        <v>46254</v>
      </c>
    </row>
    <row r="157" customFormat="false" ht="15" hidden="false" customHeight="false" outlineLevel="0" collapsed="false">
      <c r="A157" s="30" t="n">
        <v>46254.8666666667</v>
      </c>
      <c r="B157" s="31" t="s">
        <v>81</v>
      </c>
      <c r="C157" s="31"/>
      <c r="D157" s="31"/>
      <c r="E157" s="31"/>
      <c r="F157" s="26" t="n">
        <f aca="false">INT(A157-4/24)</f>
        <v>46254</v>
      </c>
    </row>
    <row r="158" customFormat="false" ht="15" hidden="false" customHeight="false" outlineLevel="0" collapsed="false">
      <c r="A158" s="30" t="n">
        <v>46254.8694444444</v>
      </c>
      <c r="B158" s="31" t="s">
        <v>77</v>
      </c>
      <c r="C158" s="31"/>
      <c r="D158" s="31"/>
      <c r="E158" s="31"/>
      <c r="F158" s="26" t="n">
        <f aca="false">INT(A158-4/24)</f>
        <v>46254</v>
      </c>
    </row>
    <row r="159" customFormat="false" ht="15" hidden="false" customHeight="false" outlineLevel="0" collapsed="false">
      <c r="A159" s="30" t="n">
        <v>46254.9826388889</v>
      </c>
      <c r="B159" s="31" t="s">
        <v>77</v>
      </c>
      <c r="C159" s="31"/>
      <c r="D159" s="31"/>
      <c r="E159" s="31"/>
      <c r="F159" s="26" t="n">
        <f aca="false">INT(A159-4/24)</f>
        <v>46254</v>
      </c>
    </row>
    <row r="160" customFormat="false" ht="15" hidden="false" customHeight="false" outlineLevel="0" collapsed="false">
      <c r="A160" s="30" t="n">
        <v>46254.9826388889</v>
      </c>
      <c r="B160" s="31" t="s">
        <v>74</v>
      </c>
      <c r="C160" s="31"/>
      <c r="D160" s="31"/>
      <c r="E160" s="31"/>
      <c r="F160" s="26" t="n">
        <f aca="false">INT(A160-4/24)</f>
        <v>46254</v>
      </c>
    </row>
    <row r="161" customFormat="false" ht="15" hidden="false" customHeight="false" outlineLevel="0" collapsed="false">
      <c r="A161" s="30" t="n">
        <v>46255.0104166667</v>
      </c>
      <c r="B161" s="31" t="s">
        <v>75</v>
      </c>
      <c r="C161" s="31"/>
      <c r="D161" s="31"/>
      <c r="E161" s="31"/>
      <c r="F161" s="26" t="n">
        <f aca="false">INT(A161-4/24)</f>
        <v>46254</v>
      </c>
    </row>
    <row r="162" customFormat="false" ht="15" hidden="false" customHeight="false" outlineLevel="0" collapsed="false">
      <c r="A162" s="30" t="n">
        <v>46255.0305555556</v>
      </c>
      <c r="B162" s="31" t="s">
        <v>20</v>
      </c>
      <c r="C162" s="31"/>
      <c r="D162" s="31"/>
      <c r="E162" s="31"/>
      <c r="F162" s="26" t="n">
        <f aca="false">INT(A162-4/24)</f>
        <v>46254</v>
      </c>
    </row>
    <row r="163" customFormat="false" ht="15" hidden="false" customHeight="false" outlineLevel="0" collapsed="false">
      <c r="A163" s="30" t="n">
        <v>46255.3645833333</v>
      </c>
      <c r="B163" s="31" t="s">
        <v>79</v>
      </c>
      <c r="C163" s="31"/>
      <c r="D163" s="31"/>
      <c r="E163" s="31"/>
      <c r="F163" s="26" t="n">
        <f aca="false">INT(A163-4/24)</f>
        <v>46255</v>
      </c>
    </row>
    <row r="164" customFormat="false" ht="15" hidden="false" customHeight="false" outlineLevel="0" collapsed="false">
      <c r="A164" s="30" t="n">
        <v>46255.3680555556</v>
      </c>
      <c r="B164" s="31" t="s">
        <v>74</v>
      </c>
      <c r="C164" s="31"/>
      <c r="D164" s="31"/>
      <c r="E164" s="31"/>
      <c r="F164" s="26" t="n">
        <f aca="false">INT(A164-4/24)</f>
        <v>46255</v>
      </c>
    </row>
    <row r="165" customFormat="false" ht="15" hidden="false" customHeight="false" outlineLevel="0" collapsed="false">
      <c r="A165" s="30" t="n">
        <v>46255.3756944445</v>
      </c>
      <c r="B165" s="31" t="s">
        <v>75</v>
      </c>
      <c r="C165" s="31"/>
      <c r="D165" s="31"/>
      <c r="E165" s="31"/>
      <c r="F165" s="26" t="n">
        <f aca="false">INT(A165-4/24)</f>
        <v>46255</v>
      </c>
    </row>
    <row r="166" customFormat="false" ht="15" hidden="false" customHeight="false" outlineLevel="0" collapsed="false">
      <c r="A166" s="30" t="n">
        <v>46255.4791666667</v>
      </c>
      <c r="B166" s="31" t="s">
        <v>74</v>
      </c>
      <c r="C166" s="31"/>
      <c r="D166" s="31"/>
      <c r="E166" s="31"/>
      <c r="F166" s="26" t="n">
        <f aca="false">INT(A166-4/24)</f>
        <v>46255</v>
      </c>
    </row>
    <row r="167" customFormat="false" ht="15" hidden="false" customHeight="false" outlineLevel="0" collapsed="false">
      <c r="A167" s="30" t="n">
        <v>46255.5125</v>
      </c>
      <c r="B167" s="31" t="s">
        <v>77</v>
      </c>
      <c r="C167" s="31"/>
      <c r="D167" s="31"/>
      <c r="E167" s="31"/>
      <c r="F167" s="26" t="n">
        <f aca="false">INT(A167-4/24)</f>
        <v>46255</v>
      </c>
    </row>
    <row r="168" customFormat="false" ht="15" hidden="false" customHeight="false" outlineLevel="0" collapsed="false">
      <c r="A168" s="30" t="n">
        <v>46255.5416666667</v>
      </c>
      <c r="B168" s="31" t="s">
        <v>74</v>
      </c>
      <c r="C168" s="31"/>
      <c r="D168" s="31"/>
      <c r="E168" s="31"/>
      <c r="F168" s="26" t="n">
        <f aca="false">INT(A168-4/24)</f>
        <v>46255</v>
      </c>
    </row>
    <row r="169" customFormat="false" ht="15" hidden="false" customHeight="false" outlineLevel="0" collapsed="false">
      <c r="A169" s="30" t="n">
        <v>46255.5895833333</v>
      </c>
      <c r="B169" s="31" t="s">
        <v>80</v>
      </c>
      <c r="C169" s="31"/>
      <c r="D169" s="31"/>
      <c r="E169" s="31"/>
      <c r="F169" s="26" t="n">
        <f aca="false">INT(A169-4/24)</f>
        <v>46255</v>
      </c>
    </row>
    <row r="170" customFormat="false" ht="15" hidden="false" customHeight="false" outlineLevel="0" collapsed="false">
      <c r="A170" s="30" t="n">
        <v>46255.6645833333</v>
      </c>
      <c r="B170" s="31" t="s">
        <v>81</v>
      </c>
      <c r="C170" s="31"/>
      <c r="D170" s="31"/>
      <c r="E170" s="31"/>
      <c r="F170" s="26" t="n">
        <f aca="false">INT(A170-4/24)</f>
        <v>46255</v>
      </c>
    </row>
    <row r="171" customFormat="false" ht="15" hidden="false" customHeight="false" outlineLevel="0" collapsed="false">
      <c r="A171" s="30" t="n">
        <v>46255.6645833333</v>
      </c>
      <c r="B171" s="31" t="s">
        <v>77</v>
      </c>
      <c r="C171" s="31"/>
      <c r="D171" s="31"/>
      <c r="E171" s="31"/>
      <c r="F171" s="26" t="n">
        <f aca="false">INT(A171-4/24)</f>
        <v>46255</v>
      </c>
    </row>
    <row r="172" customFormat="false" ht="15" hidden="false" customHeight="false" outlineLevel="0" collapsed="false">
      <c r="A172" s="30" t="n">
        <v>46255.7291666667</v>
      </c>
      <c r="B172" s="31" t="s">
        <v>75</v>
      </c>
      <c r="C172" s="31"/>
      <c r="D172" s="31"/>
      <c r="E172" s="31"/>
      <c r="F172" s="26" t="n">
        <f aca="false">INT(A172-4/24)</f>
        <v>46255</v>
      </c>
    </row>
    <row r="173" customFormat="false" ht="15" hidden="false" customHeight="false" outlineLevel="0" collapsed="false">
      <c r="A173" s="30" t="n">
        <v>46255.7361111111</v>
      </c>
      <c r="B173" s="31" t="s">
        <v>74</v>
      </c>
      <c r="C173" s="31"/>
      <c r="D173" s="31"/>
      <c r="E173" s="31"/>
      <c r="F173" s="26" t="n">
        <f aca="false">INT(A173-4/24)</f>
        <v>46255</v>
      </c>
    </row>
    <row r="174" customFormat="false" ht="15" hidden="false" customHeight="false" outlineLevel="0" collapsed="false">
      <c r="A174" s="30" t="n">
        <v>46255.7965277778</v>
      </c>
      <c r="B174" s="31" t="s">
        <v>77</v>
      </c>
      <c r="C174" s="31"/>
      <c r="D174" s="31"/>
      <c r="E174" s="31"/>
      <c r="F174" s="26" t="n">
        <f aca="false">INT(A174-4/24)</f>
        <v>46255</v>
      </c>
    </row>
    <row r="175" customFormat="false" ht="15" hidden="false" customHeight="false" outlineLevel="0" collapsed="false">
      <c r="A175" s="30" t="n">
        <v>46255.8333333333</v>
      </c>
      <c r="B175" s="31" t="s">
        <v>80</v>
      </c>
      <c r="C175" s="31"/>
      <c r="D175" s="31"/>
      <c r="E175" s="31"/>
      <c r="F175" s="26" t="n">
        <f aca="false">INT(A175-4/24)</f>
        <v>46255</v>
      </c>
    </row>
    <row r="176" customFormat="false" ht="15" hidden="false" customHeight="false" outlineLevel="0" collapsed="false">
      <c r="A176" s="30" t="n">
        <v>46255.875</v>
      </c>
      <c r="B176" s="31" t="s">
        <v>81</v>
      </c>
      <c r="C176" s="31"/>
      <c r="D176" s="31"/>
      <c r="E176" s="31"/>
      <c r="F176" s="26" t="n">
        <f aca="false">INT(A176-4/24)</f>
        <v>46255</v>
      </c>
    </row>
    <row r="177" customFormat="false" ht="15" hidden="false" customHeight="false" outlineLevel="0" collapsed="false">
      <c r="A177" s="30" t="n">
        <v>46255.8958333333</v>
      </c>
      <c r="B177" s="31" t="s">
        <v>74</v>
      </c>
      <c r="C177" s="31"/>
      <c r="D177" s="31"/>
      <c r="E177" s="31"/>
      <c r="F177" s="26" t="n">
        <f aca="false">INT(A177-4/24)</f>
        <v>46255</v>
      </c>
    </row>
    <row r="178" customFormat="false" ht="15" hidden="false" customHeight="false" outlineLevel="0" collapsed="false">
      <c r="A178" s="30" t="n">
        <v>46255.9284722222</v>
      </c>
      <c r="B178" s="31" t="s">
        <v>77</v>
      </c>
      <c r="C178" s="31"/>
      <c r="D178" s="31"/>
      <c r="E178" s="31"/>
      <c r="F178" s="26" t="n">
        <f aca="false">INT(A178-4/24)</f>
        <v>46255</v>
      </c>
    </row>
    <row r="179" customFormat="false" ht="15" hidden="false" customHeight="false" outlineLevel="0" collapsed="false">
      <c r="A179" s="30" t="n">
        <v>46255.9506944444</v>
      </c>
      <c r="B179" s="31" t="s">
        <v>74</v>
      </c>
      <c r="C179" s="31"/>
      <c r="D179" s="31"/>
      <c r="E179" s="31"/>
      <c r="F179" s="26" t="n">
        <f aca="false">INT(A179-4/24)</f>
        <v>46255</v>
      </c>
    </row>
    <row r="180" customFormat="false" ht="15" hidden="false" customHeight="false" outlineLevel="0" collapsed="false">
      <c r="A180" s="30" t="n">
        <v>46256.0277777778</v>
      </c>
      <c r="B180" s="31" t="s">
        <v>75</v>
      </c>
      <c r="C180" s="31"/>
      <c r="D180" s="31"/>
      <c r="E180" s="31"/>
      <c r="F180" s="26" t="n">
        <f aca="false">INT(A180-4/24)</f>
        <v>46255</v>
      </c>
    </row>
    <row r="181" customFormat="false" ht="15" hidden="false" customHeight="false" outlineLevel="0" collapsed="false">
      <c r="A181" s="30" t="n">
        <v>46256.0347222222</v>
      </c>
      <c r="B181" s="31" t="s">
        <v>77</v>
      </c>
      <c r="C181" s="31"/>
      <c r="D181" s="31"/>
      <c r="E181" s="31"/>
      <c r="F181" s="26" t="n">
        <f aca="false">INT(A181-4/24)</f>
        <v>46255</v>
      </c>
    </row>
    <row r="182" customFormat="false" ht="15" hidden="false" customHeight="false" outlineLevel="0" collapsed="false">
      <c r="A182" s="30" t="n">
        <v>46256.0694444445</v>
      </c>
      <c r="B182" s="31" t="s">
        <v>20</v>
      </c>
      <c r="C182" s="31"/>
      <c r="D182" s="31"/>
      <c r="E182" s="31"/>
      <c r="F182" s="26" t="n">
        <f aca="false">INT(A182-4/24)</f>
        <v>46255</v>
      </c>
    </row>
    <row r="183" customFormat="false" ht="15" hidden="false" customHeight="false" outlineLevel="0" collapsed="false">
      <c r="A183" s="30" t="n">
        <v>46256.3340277778</v>
      </c>
      <c r="B183" s="31" t="s">
        <v>79</v>
      </c>
      <c r="C183" s="31"/>
      <c r="D183" s="31"/>
      <c r="E183" s="31"/>
      <c r="F183" s="26" t="n">
        <f aca="false">INT(A183-4/24)</f>
        <v>46256</v>
      </c>
    </row>
    <row r="184" customFormat="false" ht="15" hidden="false" customHeight="false" outlineLevel="0" collapsed="false">
      <c r="A184" s="30" t="n">
        <v>46256.3444444445</v>
      </c>
      <c r="B184" s="31" t="s">
        <v>74</v>
      </c>
      <c r="C184" s="31"/>
      <c r="D184" s="31"/>
      <c r="E184" s="31"/>
      <c r="F184" s="26" t="n">
        <f aca="false">INT(A184-4/24)</f>
        <v>46256</v>
      </c>
    </row>
    <row r="185" customFormat="false" ht="15" hidden="false" customHeight="false" outlineLevel="0" collapsed="false">
      <c r="A185" s="30" t="n">
        <v>46256.3451388889</v>
      </c>
      <c r="B185" s="31" t="s">
        <v>77</v>
      </c>
      <c r="C185" s="31"/>
      <c r="D185" s="31"/>
      <c r="E185" s="31"/>
      <c r="F185" s="26" t="n">
        <f aca="false">INT(A185-4/24)</f>
        <v>46256</v>
      </c>
    </row>
    <row r="186" customFormat="false" ht="15" hidden="false" customHeight="false" outlineLevel="0" collapsed="false">
      <c r="A186" s="30" t="n">
        <v>46256.3493055556</v>
      </c>
      <c r="B186" s="31" t="s">
        <v>75</v>
      </c>
      <c r="C186" s="31"/>
      <c r="D186" s="31"/>
      <c r="E186" s="31"/>
      <c r="F186" s="26" t="n">
        <f aca="false">INT(A186-4/24)</f>
        <v>46256</v>
      </c>
    </row>
    <row r="187" customFormat="false" ht="15" hidden="false" customHeight="false" outlineLevel="0" collapsed="false">
      <c r="A187" s="30" t="n">
        <v>46256.3513888889</v>
      </c>
      <c r="B187" s="31" t="s">
        <v>80</v>
      </c>
      <c r="C187" s="31"/>
      <c r="D187" s="31"/>
      <c r="E187" s="31"/>
      <c r="F187" s="26" t="n">
        <f aca="false">INT(A187-4/24)</f>
        <v>46256</v>
      </c>
    </row>
    <row r="188" customFormat="false" ht="15" hidden="false" customHeight="false" outlineLevel="0" collapsed="false">
      <c r="A188" s="30" t="n">
        <v>46256.4652777778</v>
      </c>
      <c r="B188" s="31" t="s">
        <v>81</v>
      </c>
      <c r="C188" s="31"/>
      <c r="D188" s="31"/>
      <c r="E188" s="31"/>
      <c r="F188" s="26" t="n">
        <f aca="false">INT(A188-4/24)</f>
        <v>46256</v>
      </c>
    </row>
    <row r="189" customFormat="false" ht="15" hidden="false" customHeight="false" outlineLevel="0" collapsed="false">
      <c r="A189" s="30" t="n">
        <v>46256.4694444445</v>
      </c>
      <c r="B189" s="31" t="s">
        <v>77</v>
      </c>
      <c r="C189" s="31"/>
      <c r="D189" s="31"/>
      <c r="E189" s="31"/>
      <c r="F189" s="26" t="n">
        <f aca="false">INT(A189-4/24)</f>
        <v>46256</v>
      </c>
    </row>
    <row r="190" customFormat="false" ht="15" hidden="false" customHeight="false" outlineLevel="0" collapsed="false">
      <c r="A190" s="30" t="n">
        <v>46256.4861111111</v>
      </c>
      <c r="B190" s="31" t="s">
        <v>80</v>
      </c>
      <c r="C190" s="31"/>
      <c r="D190" s="31"/>
      <c r="E190" s="31"/>
      <c r="F190" s="26" t="n">
        <f aca="false">INT(A190-4/24)</f>
        <v>46256</v>
      </c>
    </row>
    <row r="191" customFormat="false" ht="15" hidden="false" customHeight="false" outlineLevel="0" collapsed="false">
      <c r="A191" s="30" t="n">
        <v>46256.4958333333</v>
      </c>
      <c r="B191" s="31" t="s">
        <v>81</v>
      </c>
      <c r="C191" s="31"/>
      <c r="D191" s="31"/>
      <c r="E191" s="31"/>
      <c r="F191" s="26" t="n">
        <f aca="false">INT(A191-4/24)</f>
        <v>46256</v>
      </c>
    </row>
    <row r="192" customFormat="false" ht="15" hidden="false" customHeight="false" outlineLevel="0" collapsed="false">
      <c r="A192" s="30" t="n">
        <v>46256.5409722222</v>
      </c>
      <c r="B192" s="31" t="s">
        <v>80</v>
      </c>
      <c r="C192" s="31"/>
      <c r="D192" s="31"/>
      <c r="E192" s="31"/>
      <c r="F192" s="26" t="n">
        <f aca="false">INT(A192-4/24)</f>
        <v>46256</v>
      </c>
    </row>
    <row r="193" customFormat="false" ht="15" hidden="false" customHeight="false" outlineLevel="0" collapsed="false">
      <c r="A193" s="30" t="n">
        <v>46256.5625</v>
      </c>
      <c r="B193" s="31" t="s">
        <v>81</v>
      </c>
      <c r="C193" s="31"/>
      <c r="D193" s="31"/>
      <c r="E193" s="31"/>
      <c r="F193" s="26" t="n">
        <f aca="false">INT(A193-4/24)</f>
        <v>46256</v>
      </c>
    </row>
    <row r="194" customFormat="false" ht="15" hidden="false" customHeight="false" outlineLevel="0" collapsed="false">
      <c r="A194" s="30" t="n">
        <v>46256.5798611111</v>
      </c>
      <c r="B194" s="31" t="s">
        <v>74</v>
      </c>
      <c r="C194" s="31"/>
      <c r="D194" s="31"/>
      <c r="E194" s="31"/>
      <c r="F194" s="26" t="n">
        <f aca="false">INT(A194-4/24)</f>
        <v>46256</v>
      </c>
    </row>
    <row r="195" customFormat="false" ht="15" hidden="false" customHeight="false" outlineLevel="0" collapsed="false">
      <c r="A195" s="30" t="n">
        <v>46256.5854166667</v>
      </c>
      <c r="B195" s="31" t="s">
        <v>77</v>
      </c>
      <c r="C195" s="31"/>
      <c r="D195" s="31"/>
      <c r="E195" s="31"/>
      <c r="F195" s="26" t="n">
        <f aca="false">INT(A195-4/24)</f>
        <v>46256</v>
      </c>
    </row>
    <row r="196" customFormat="false" ht="15" hidden="false" customHeight="false" outlineLevel="0" collapsed="false">
      <c r="A196" s="30" t="n">
        <v>46256.65</v>
      </c>
      <c r="B196" s="31" t="s">
        <v>80</v>
      </c>
      <c r="C196" s="31"/>
      <c r="D196" s="31"/>
      <c r="E196" s="31"/>
      <c r="F196" s="26" t="n">
        <f aca="false">INT(A196-4/24)</f>
        <v>46256</v>
      </c>
    </row>
    <row r="197" customFormat="false" ht="15" hidden="false" customHeight="false" outlineLevel="0" collapsed="false">
      <c r="A197" s="30" t="n">
        <v>46256.6763888889</v>
      </c>
      <c r="B197" s="31" t="s">
        <v>81</v>
      </c>
      <c r="C197" s="31"/>
      <c r="D197" s="31"/>
      <c r="E197" s="31"/>
      <c r="F197" s="26" t="n">
        <f aca="false">INT(A197-4/24)</f>
        <v>46256</v>
      </c>
    </row>
    <row r="198" customFormat="false" ht="15" hidden="false" customHeight="false" outlineLevel="0" collapsed="false">
      <c r="A198" s="30" t="n">
        <v>46256.6923611111</v>
      </c>
      <c r="B198" s="31" t="s">
        <v>75</v>
      </c>
      <c r="C198" s="31"/>
      <c r="D198" s="31"/>
      <c r="E198" s="31"/>
      <c r="F198" s="26" t="n">
        <f aca="false">INT(A198-4/24)</f>
        <v>46256</v>
      </c>
    </row>
    <row r="199" customFormat="false" ht="15" hidden="false" customHeight="false" outlineLevel="0" collapsed="false">
      <c r="A199" s="30" t="n">
        <v>46256.7104166667</v>
      </c>
      <c r="B199" s="31" t="s">
        <v>77</v>
      </c>
      <c r="C199" s="31"/>
      <c r="D199" s="31"/>
      <c r="E199" s="31"/>
      <c r="F199" s="26" t="n">
        <f aca="false">INT(A199-4/24)</f>
        <v>46256</v>
      </c>
    </row>
    <row r="200" customFormat="false" ht="15" hidden="false" customHeight="false" outlineLevel="0" collapsed="false">
      <c r="A200" s="30" t="n">
        <v>46256.7208333333</v>
      </c>
      <c r="B200" s="31" t="s">
        <v>80</v>
      </c>
      <c r="C200" s="31"/>
      <c r="D200" s="31"/>
      <c r="E200" s="31"/>
      <c r="F200" s="26" t="n">
        <f aca="false">INT(A200-4/24)</f>
        <v>46256</v>
      </c>
    </row>
    <row r="201" customFormat="false" ht="15" hidden="false" customHeight="false" outlineLevel="0" collapsed="false">
      <c r="A201" s="30" t="n">
        <v>46256.7472222222</v>
      </c>
      <c r="B201" s="31" t="s">
        <v>81</v>
      </c>
      <c r="C201" s="31"/>
      <c r="D201" s="31"/>
      <c r="E201" s="31"/>
      <c r="F201" s="26" t="n">
        <f aca="false">INT(A201-4/24)</f>
        <v>46256</v>
      </c>
    </row>
    <row r="202" customFormat="false" ht="15" hidden="false" customHeight="false" outlineLevel="0" collapsed="false">
      <c r="A202" s="30" t="n">
        <v>46256.7611111111</v>
      </c>
      <c r="B202" s="31" t="s">
        <v>74</v>
      </c>
      <c r="C202" s="31"/>
      <c r="D202" s="31"/>
      <c r="E202" s="31"/>
      <c r="F202" s="26" t="n">
        <f aca="false">INT(A202-4/24)</f>
        <v>46256</v>
      </c>
    </row>
    <row r="203" customFormat="false" ht="15" hidden="false" customHeight="false" outlineLevel="0" collapsed="false">
      <c r="A203" s="30" t="n">
        <v>46256.7916666667</v>
      </c>
      <c r="B203" s="31" t="s">
        <v>74</v>
      </c>
      <c r="C203" s="31"/>
      <c r="D203" s="31"/>
      <c r="E203" s="31"/>
      <c r="F203" s="26" t="n">
        <f aca="false">INT(A203-4/24)</f>
        <v>46256</v>
      </c>
    </row>
    <row r="204" customFormat="false" ht="15" hidden="false" customHeight="false" outlineLevel="0" collapsed="false">
      <c r="A204" s="30" t="n">
        <v>46256.8194444445</v>
      </c>
      <c r="B204" s="31" t="s">
        <v>80</v>
      </c>
      <c r="C204" s="31"/>
      <c r="D204" s="31"/>
      <c r="E204" s="31"/>
      <c r="F204" s="26" t="n">
        <f aca="false">INT(A204-4/24)</f>
        <v>46256</v>
      </c>
    </row>
    <row r="205" customFormat="false" ht="15" hidden="false" customHeight="false" outlineLevel="0" collapsed="false">
      <c r="A205" s="30" t="n">
        <v>46256.8298611111</v>
      </c>
      <c r="B205" s="31" t="s">
        <v>81</v>
      </c>
      <c r="C205" s="31"/>
      <c r="D205" s="31"/>
      <c r="E205" s="31"/>
      <c r="F205" s="26" t="n">
        <f aca="false">INT(A205-4/24)</f>
        <v>46256</v>
      </c>
    </row>
    <row r="206" customFormat="false" ht="15" hidden="false" customHeight="false" outlineLevel="0" collapsed="false">
      <c r="A206" s="30" t="n">
        <v>46256.8340277778</v>
      </c>
      <c r="B206" s="31" t="s">
        <v>77</v>
      </c>
      <c r="C206" s="31"/>
      <c r="D206" s="31"/>
      <c r="E206" s="31"/>
      <c r="F206" s="26" t="n">
        <f aca="false">INT(A206-4/24)</f>
        <v>46256</v>
      </c>
    </row>
    <row r="207" customFormat="false" ht="15" hidden="false" customHeight="false" outlineLevel="0" collapsed="false">
      <c r="A207" s="30" t="n">
        <v>46256.9305555556</v>
      </c>
      <c r="B207" s="31" t="s">
        <v>74</v>
      </c>
      <c r="C207" s="31"/>
      <c r="D207" s="31"/>
      <c r="E207" s="31"/>
      <c r="F207" s="26" t="n">
        <f aca="false">INT(A207-4/24)</f>
        <v>46256</v>
      </c>
    </row>
    <row r="208" customFormat="false" ht="15" hidden="false" customHeight="false" outlineLevel="0" collapsed="false">
      <c r="A208" s="30" t="n">
        <v>46256.9569444444</v>
      </c>
      <c r="B208" s="31" t="s">
        <v>77</v>
      </c>
      <c r="C208" s="31"/>
      <c r="D208" s="31"/>
      <c r="E208" s="31"/>
      <c r="F208" s="26" t="n">
        <f aca="false">INT(A208-4/24)</f>
        <v>46256</v>
      </c>
    </row>
    <row r="209" customFormat="false" ht="15" hidden="false" customHeight="false" outlineLevel="0" collapsed="false">
      <c r="A209" s="30" t="n">
        <v>46257.0055555556</v>
      </c>
      <c r="B209" s="31" t="s">
        <v>75</v>
      </c>
      <c r="C209" s="31"/>
      <c r="D209" s="31"/>
      <c r="E209" s="31"/>
      <c r="F209" s="26" t="n">
        <f aca="false">INT(A209-4/24)</f>
        <v>46256</v>
      </c>
    </row>
    <row r="210" customFormat="false" ht="15" hidden="false" customHeight="false" outlineLevel="0" collapsed="false">
      <c r="A210" s="30" t="n">
        <v>46257.3722222222</v>
      </c>
      <c r="B210" s="31" t="s">
        <v>74</v>
      </c>
      <c r="C210" s="31"/>
      <c r="D210" s="31"/>
      <c r="E210" s="31"/>
      <c r="F210" s="26" t="n">
        <f aca="false">INT(A210-4/24)</f>
        <v>46257</v>
      </c>
    </row>
    <row r="211" customFormat="false" ht="15" hidden="false" customHeight="false" outlineLevel="0" collapsed="false">
      <c r="A211" s="30" t="n">
        <v>46257.375</v>
      </c>
      <c r="B211" s="31" t="s">
        <v>79</v>
      </c>
      <c r="C211" s="31"/>
      <c r="D211" s="31"/>
      <c r="E211" s="31"/>
      <c r="F211" s="26" t="n">
        <f aca="false">INT(A211-4/24)</f>
        <v>46257</v>
      </c>
    </row>
    <row r="212" customFormat="false" ht="15" hidden="false" customHeight="false" outlineLevel="0" collapsed="false">
      <c r="A212" s="30" t="n">
        <v>46257.3840277778</v>
      </c>
      <c r="B212" s="31" t="s">
        <v>77</v>
      </c>
      <c r="C212" s="31"/>
      <c r="D212" s="31"/>
      <c r="E212" s="31"/>
      <c r="F212" s="26" t="n">
        <f aca="false">INT(A212-4/24)</f>
        <v>46257</v>
      </c>
    </row>
    <row r="213" customFormat="false" ht="15" hidden="false" customHeight="false" outlineLevel="0" collapsed="false">
      <c r="A213" s="30" t="n">
        <v>46257.3840277778</v>
      </c>
      <c r="B213" s="31" t="s">
        <v>75</v>
      </c>
      <c r="C213" s="31"/>
      <c r="D213" s="31"/>
      <c r="E213" s="31"/>
      <c r="F213" s="26" t="n">
        <f aca="false">INT(A213-4/24)</f>
        <v>46257</v>
      </c>
    </row>
    <row r="214" customFormat="false" ht="15" hidden="false" customHeight="false" outlineLevel="0" collapsed="false">
      <c r="A214" s="30" t="n">
        <v>46257.4965277778</v>
      </c>
      <c r="B214" s="31" t="s">
        <v>74</v>
      </c>
      <c r="C214" s="31"/>
      <c r="D214" s="31"/>
      <c r="E214" s="31"/>
      <c r="F214" s="26" t="n">
        <f aca="false">INT(A214-4/24)</f>
        <v>46257</v>
      </c>
    </row>
    <row r="215" customFormat="false" ht="15" hidden="false" customHeight="false" outlineLevel="0" collapsed="false">
      <c r="A215" s="30" t="n">
        <v>46257.5</v>
      </c>
      <c r="B215" s="31" t="s">
        <v>77</v>
      </c>
      <c r="C215" s="31"/>
      <c r="D215" s="31"/>
      <c r="E215" s="31"/>
      <c r="F215" s="26" t="n">
        <f aca="false">INT(A215-4/24)</f>
        <v>46257</v>
      </c>
    </row>
    <row r="216" customFormat="false" ht="15" hidden="false" customHeight="false" outlineLevel="0" collapsed="false">
      <c r="A216" s="30" t="n">
        <v>46257.5208333333</v>
      </c>
      <c r="B216" s="31" t="s">
        <v>80</v>
      </c>
      <c r="C216" s="31"/>
      <c r="D216" s="31"/>
      <c r="E216" s="31"/>
      <c r="F216" s="26" t="n">
        <f aca="false">INT(A216-4/24)</f>
        <v>46257</v>
      </c>
    </row>
    <row r="217" customFormat="false" ht="15" hidden="false" customHeight="false" outlineLevel="0" collapsed="false">
      <c r="A217" s="30" t="n">
        <v>46257.5451388889</v>
      </c>
      <c r="B217" s="31" t="s">
        <v>81</v>
      </c>
      <c r="C217" s="31"/>
      <c r="D217" s="31"/>
      <c r="E217" s="31"/>
      <c r="F217" s="26" t="n">
        <f aca="false">INT(A217-4/24)</f>
        <v>46257</v>
      </c>
    </row>
    <row r="218" customFormat="false" ht="15" hidden="false" customHeight="false" outlineLevel="0" collapsed="false">
      <c r="A218" s="30" t="n">
        <v>46257.625</v>
      </c>
      <c r="B218" s="31" t="s">
        <v>77</v>
      </c>
      <c r="C218" s="31"/>
      <c r="D218" s="31"/>
      <c r="E218" s="31"/>
      <c r="F218" s="26" t="n">
        <f aca="false">INT(A218-4/24)</f>
        <v>46257</v>
      </c>
    </row>
    <row r="219" customFormat="false" ht="15" hidden="false" customHeight="false" outlineLevel="0" collapsed="false">
      <c r="A219" s="30" t="n">
        <v>46257.6666666667</v>
      </c>
      <c r="B219" s="31" t="s">
        <v>74</v>
      </c>
      <c r="C219" s="31"/>
      <c r="D219" s="31"/>
      <c r="E219" s="31"/>
      <c r="F219" s="26" t="n">
        <f aca="false">INT(A219-4/24)</f>
        <v>46257</v>
      </c>
    </row>
    <row r="220" customFormat="false" ht="15" hidden="false" customHeight="false" outlineLevel="0" collapsed="false">
      <c r="A220" s="30" t="n">
        <v>46257.7083333333</v>
      </c>
      <c r="B220" s="31" t="s">
        <v>74</v>
      </c>
      <c r="C220" s="31"/>
      <c r="D220" s="31"/>
      <c r="E220" s="31"/>
      <c r="F220" s="26" t="n">
        <f aca="false">INT(A220-4/24)</f>
        <v>46257</v>
      </c>
    </row>
    <row r="221" customFormat="false" ht="15" hidden="false" customHeight="false" outlineLevel="0" collapsed="false">
      <c r="A221" s="30" t="n">
        <v>46257.7152777778</v>
      </c>
      <c r="B221" s="31" t="s">
        <v>75</v>
      </c>
      <c r="C221" s="31"/>
      <c r="D221" s="31"/>
      <c r="E221" s="31"/>
      <c r="F221" s="26" t="n">
        <f aca="false">INT(A221-4/24)</f>
        <v>46257</v>
      </c>
    </row>
    <row r="222" customFormat="false" ht="15" hidden="false" customHeight="false" outlineLevel="0" collapsed="false">
      <c r="A222" s="30" t="n">
        <v>46257.7270833333</v>
      </c>
      <c r="B222" s="31" t="s">
        <v>80</v>
      </c>
      <c r="C222" s="31"/>
      <c r="D222" s="31"/>
      <c r="E222" s="31"/>
      <c r="F222" s="26" t="n">
        <f aca="false">INT(A222-4/24)</f>
        <v>46257</v>
      </c>
    </row>
    <row r="223" customFormat="false" ht="15" hidden="false" customHeight="false" outlineLevel="0" collapsed="false">
      <c r="A223" s="30" t="n">
        <v>46257.7534722222</v>
      </c>
      <c r="B223" s="31" t="s">
        <v>77</v>
      </c>
      <c r="C223" s="31"/>
      <c r="D223" s="31"/>
      <c r="E223" s="31"/>
      <c r="F223" s="26" t="n">
        <f aca="false">INT(A223-4/24)</f>
        <v>46257</v>
      </c>
    </row>
    <row r="224" customFormat="false" ht="15" hidden="false" customHeight="false" outlineLevel="0" collapsed="false">
      <c r="A224" s="30" t="n">
        <v>46257.7638888889</v>
      </c>
      <c r="B224" s="31" t="s">
        <v>80</v>
      </c>
      <c r="C224" s="31"/>
      <c r="D224" s="31"/>
      <c r="E224" s="31"/>
      <c r="F224" s="26" t="n">
        <f aca="false">INT(A224-4/24)</f>
        <v>46257</v>
      </c>
    </row>
    <row r="225" customFormat="false" ht="15" hidden="false" customHeight="false" outlineLevel="0" collapsed="false">
      <c r="A225" s="30" t="n">
        <v>46257.8333333333</v>
      </c>
      <c r="B225" s="31" t="s">
        <v>81</v>
      </c>
      <c r="C225" s="31"/>
      <c r="D225" s="31"/>
      <c r="E225" s="31"/>
      <c r="F225" s="26" t="n">
        <f aca="false">INT(A225-4/24)</f>
        <v>46257</v>
      </c>
    </row>
    <row r="226" customFormat="false" ht="15" hidden="false" customHeight="false" outlineLevel="0" collapsed="false">
      <c r="A226" s="30" t="n">
        <v>46257.8680555556</v>
      </c>
      <c r="B226" s="31" t="s">
        <v>74</v>
      </c>
      <c r="C226" s="31"/>
      <c r="D226" s="31"/>
      <c r="E226" s="31"/>
      <c r="F226" s="26" t="n">
        <f aca="false">INT(A226-4/24)</f>
        <v>46257</v>
      </c>
    </row>
    <row r="227" customFormat="false" ht="15" hidden="false" customHeight="false" outlineLevel="0" collapsed="false">
      <c r="A227" s="30" t="n">
        <v>46257.875</v>
      </c>
      <c r="B227" s="31" t="s">
        <v>77</v>
      </c>
      <c r="C227" s="31"/>
      <c r="D227" s="31"/>
      <c r="E227" s="31"/>
      <c r="F227" s="26" t="n">
        <f aca="false">INT(A227-4/24)</f>
        <v>46257</v>
      </c>
    </row>
    <row r="228" customFormat="false" ht="15" hidden="false" customHeight="false" outlineLevel="0" collapsed="false">
      <c r="A228" s="30" t="n">
        <v>46257.9041666667</v>
      </c>
      <c r="B228" s="31" t="s">
        <v>74</v>
      </c>
      <c r="C228" s="31"/>
      <c r="D228" s="31"/>
      <c r="E228" s="31"/>
      <c r="F228" s="26" t="n">
        <f aca="false">INT(A228-4/24)</f>
        <v>46257</v>
      </c>
    </row>
    <row r="229" customFormat="false" ht="15" hidden="false" customHeight="false" outlineLevel="0" collapsed="false">
      <c r="A229" s="30" t="n">
        <v>46257.9722222222</v>
      </c>
      <c r="B229" s="31" t="s">
        <v>77</v>
      </c>
      <c r="C229" s="31"/>
      <c r="D229" s="31"/>
      <c r="E229" s="31"/>
      <c r="F229" s="26" t="n">
        <f aca="false">INT(A229-4/24)</f>
        <v>46257</v>
      </c>
    </row>
    <row r="230" customFormat="false" ht="15" hidden="false" customHeight="false" outlineLevel="0" collapsed="false">
      <c r="A230" s="30" t="n">
        <v>46258.0131944444</v>
      </c>
      <c r="B230" s="31" t="s">
        <v>75</v>
      </c>
      <c r="C230" s="31"/>
      <c r="D230" s="31"/>
      <c r="E230" s="31"/>
      <c r="F230" s="26" t="n">
        <f aca="false">INT(A230-4/24)</f>
        <v>46257</v>
      </c>
    </row>
    <row r="231" customFormat="false" ht="15" hidden="false" customHeight="false" outlineLevel="0" collapsed="false">
      <c r="A231" s="30" t="n">
        <v>46258.0263888889</v>
      </c>
      <c r="B231" s="31" t="s">
        <v>20</v>
      </c>
      <c r="C231" s="31"/>
      <c r="D231" s="31"/>
      <c r="E231" s="31"/>
      <c r="F231" s="26" t="n">
        <f aca="false">INT(A231-4/24)</f>
        <v>46257</v>
      </c>
    </row>
    <row r="232" customFormat="false" ht="15" hidden="false" customHeight="false" outlineLevel="0" collapsed="false">
      <c r="A232" s="30" t="n">
        <v>46258.2326388889</v>
      </c>
      <c r="B232" s="31" t="s">
        <v>79</v>
      </c>
      <c r="C232" s="31"/>
      <c r="D232" s="31"/>
      <c r="E232" s="31"/>
      <c r="F232" s="26" t="n">
        <f aca="false">INT(A232-4/24)</f>
        <v>46258</v>
      </c>
    </row>
    <row r="233" customFormat="false" ht="15" hidden="false" customHeight="false" outlineLevel="0" collapsed="false">
      <c r="A233" s="30" t="n">
        <v>46258.2395833333</v>
      </c>
      <c r="B233" s="31" t="s">
        <v>74</v>
      </c>
      <c r="C233" s="31"/>
      <c r="D233" s="31"/>
      <c r="E233" s="31"/>
      <c r="F233" s="26" t="n">
        <f aca="false">INT(A233-4/24)</f>
        <v>46258</v>
      </c>
    </row>
    <row r="234" customFormat="false" ht="15" hidden="false" customHeight="false" outlineLevel="0" collapsed="false">
      <c r="A234" s="30" t="n">
        <v>46258.2527777778</v>
      </c>
      <c r="B234" s="31" t="s">
        <v>77</v>
      </c>
      <c r="C234" s="31"/>
      <c r="D234" s="31"/>
      <c r="E234" s="31"/>
      <c r="F234" s="26" t="n">
        <f aca="false">INT(A234-4/24)</f>
        <v>46258</v>
      </c>
    </row>
    <row r="235" customFormat="false" ht="15" hidden="false" customHeight="false" outlineLevel="0" collapsed="false">
      <c r="A235" s="30" t="n">
        <v>46258.2847222222</v>
      </c>
      <c r="B235" s="31" t="s">
        <v>80</v>
      </c>
      <c r="C235" s="31"/>
      <c r="D235" s="31"/>
      <c r="E235" s="31"/>
      <c r="F235" s="26" t="n">
        <f aca="false">INT(A235-4/24)</f>
        <v>46258</v>
      </c>
    </row>
    <row r="236" customFormat="false" ht="15" hidden="false" customHeight="false" outlineLevel="0" collapsed="false">
      <c r="A236" s="30" t="n">
        <v>46258.2958333333</v>
      </c>
      <c r="B236" s="31" t="s">
        <v>81</v>
      </c>
      <c r="C236" s="31"/>
      <c r="D236" s="31"/>
      <c r="E236" s="31"/>
      <c r="F236" s="26" t="n">
        <f aca="false">INT(A236-4/24)</f>
        <v>46258</v>
      </c>
    </row>
    <row r="237" customFormat="false" ht="15" hidden="false" customHeight="false" outlineLevel="0" collapsed="false">
      <c r="A237" s="30" t="n">
        <v>46258.3645833333</v>
      </c>
      <c r="B237" s="31" t="s">
        <v>74</v>
      </c>
      <c r="C237" s="31"/>
      <c r="D237" s="31"/>
      <c r="E237" s="31"/>
      <c r="F237" s="26" t="n">
        <f aca="false">INT(A237-4/24)</f>
        <v>46258</v>
      </c>
    </row>
    <row r="238" customFormat="false" ht="15" hidden="false" customHeight="false" outlineLevel="0" collapsed="false">
      <c r="A238" s="30" t="n">
        <v>46258.4791666667</v>
      </c>
      <c r="B238" s="31" t="s">
        <v>77</v>
      </c>
      <c r="C238" s="31"/>
      <c r="D238" s="31"/>
      <c r="E238" s="31"/>
      <c r="F238" s="26" t="n">
        <f aca="false">INT(A238-4/24)</f>
        <v>46258</v>
      </c>
    </row>
    <row r="239" customFormat="false" ht="15" hidden="false" customHeight="false" outlineLevel="0" collapsed="false">
      <c r="A239" s="30" t="n">
        <v>46258.5291666667</v>
      </c>
      <c r="B239" s="31" t="s">
        <v>80</v>
      </c>
      <c r="C239" s="31"/>
      <c r="D239" s="31"/>
      <c r="E239" s="31"/>
      <c r="F239" s="26" t="n">
        <f aca="false">INT(A239-4/24)</f>
        <v>46258</v>
      </c>
    </row>
    <row r="240" customFormat="false" ht="15" hidden="false" customHeight="false" outlineLevel="0" collapsed="false">
      <c r="A240" s="30" t="n">
        <v>46258.5625</v>
      </c>
      <c r="B240" s="31" t="s">
        <v>81</v>
      </c>
      <c r="C240" s="31"/>
      <c r="D240" s="31"/>
      <c r="E240" s="31"/>
      <c r="F240" s="26" t="n">
        <f aca="false">INT(A240-4/24)</f>
        <v>46258</v>
      </c>
    </row>
    <row r="241" customFormat="false" ht="15" hidden="false" customHeight="false" outlineLevel="0" collapsed="false">
      <c r="A241" s="30" t="n">
        <v>46258.6090277778</v>
      </c>
      <c r="B241" s="31" t="s">
        <v>80</v>
      </c>
      <c r="C241" s="31"/>
      <c r="D241" s="31"/>
      <c r="E241" s="31"/>
      <c r="F241" s="26" t="n">
        <f aca="false">INT(A241-4/24)</f>
        <v>46258</v>
      </c>
    </row>
    <row r="242" customFormat="false" ht="15" hidden="false" customHeight="false" outlineLevel="0" collapsed="false">
      <c r="A242" s="30" t="n">
        <v>46258.6354166667</v>
      </c>
      <c r="B242" s="31" t="s">
        <v>81</v>
      </c>
      <c r="C242" s="31"/>
      <c r="D242" s="31"/>
      <c r="E242" s="31"/>
      <c r="F242" s="26" t="n">
        <f aca="false">INT(A242-4/24)</f>
        <v>46258</v>
      </c>
    </row>
    <row r="243" customFormat="false" ht="15" hidden="false" customHeight="false" outlineLevel="0" collapsed="false">
      <c r="A243" s="30" t="n">
        <v>46258.6423611111</v>
      </c>
      <c r="B243" s="31" t="s">
        <v>74</v>
      </c>
      <c r="C243" s="31"/>
      <c r="D243" s="31"/>
      <c r="E243" s="31"/>
      <c r="F243" s="26" t="n">
        <f aca="false">INT(A243-4/24)</f>
        <v>46258</v>
      </c>
    </row>
    <row r="244" customFormat="false" ht="15" hidden="false" customHeight="false" outlineLevel="0" collapsed="false">
      <c r="A244" s="30" t="n">
        <v>46258.6458333333</v>
      </c>
      <c r="B244" s="31" t="s">
        <v>77</v>
      </c>
      <c r="C244" s="31"/>
      <c r="D244" s="31"/>
      <c r="E244" s="31"/>
      <c r="F244" s="26" t="n">
        <f aca="false">INT(A244-4/24)</f>
        <v>46258</v>
      </c>
    </row>
    <row r="245" customFormat="false" ht="15" hidden="false" customHeight="false" outlineLevel="0" collapsed="false">
      <c r="A245" s="30" t="n">
        <v>46258.6527777778</v>
      </c>
      <c r="B245" s="31" t="s">
        <v>80</v>
      </c>
      <c r="C245" s="31"/>
      <c r="D245" s="31"/>
      <c r="E245" s="31"/>
      <c r="F245" s="26" t="n">
        <f aca="false">INT(A245-4/24)</f>
        <v>46258</v>
      </c>
    </row>
    <row r="246" customFormat="false" ht="15" hidden="false" customHeight="false" outlineLevel="0" collapsed="false">
      <c r="A246" s="30" t="n">
        <v>46258.6666666667</v>
      </c>
      <c r="B246" s="31" t="s">
        <v>75</v>
      </c>
      <c r="C246" s="31"/>
      <c r="D246" s="31"/>
      <c r="E246" s="31"/>
      <c r="F246" s="26" t="n">
        <f aca="false">INT(A246-4/24)</f>
        <v>46258</v>
      </c>
    </row>
    <row r="247" customFormat="false" ht="15" hidden="false" customHeight="false" outlineLevel="0" collapsed="false">
      <c r="A247" s="30" t="n">
        <v>46258.7222222222</v>
      </c>
      <c r="B247" s="31" t="s">
        <v>81</v>
      </c>
      <c r="C247" s="31"/>
      <c r="D247" s="31"/>
      <c r="E247" s="31"/>
      <c r="F247" s="26" t="n">
        <f aca="false">INT(A247-4/24)</f>
        <v>46258</v>
      </c>
    </row>
    <row r="248" customFormat="false" ht="15" hidden="false" customHeight="false" outlineLevel="0" collapsed="false">
      <c r="A248" s="30" t="n">
        <v>46258.7430555556</v>
      </c>
      <c r="B248" s="31" t="s">
        <v>74</v>
      </c>
      <c r="C248" s="31"/>
      <c r="D248" s="31"/>
      <c r="E248" s="31"/>
      <c r="F248" s="26" t="n">
        <f aca="false">INT(A248-4/24)</f>
        <v>46258</v>
      </c>
    </row>
    <row r="249" customFormat="false" ht="15" hidden="false" customHeight="false" outlineLevel="0" collapsed="false">
      <c r="A249" s="30" t="n">
        <v>46258.7784722222</v>
      </c>
      <c r="B249" s="31" t="s">
        <v>77</v>
      </c>
      <c r="C249" s="31"/>
      <c r="D249" s="31"/>
      <c r="E249" s="31"/>
      <c r="F249" s="26" t="n">
        <f aca="false">INT(A249-4/24)</f>
        <v>46258</v>
      </c>
    </row>
    <row r="250" customFormat="false" ht="15" hidden="false" customHeight="false" outlineLevel="0" collapsed="false">
      <c r="A250" s="30" t="n">
        <v>46258.8645833333</v>
      </c>
      <c r="B250" s="31" t="s">
        <v>74</v>
      </c>
      <c r="C250" s="31"/>
      <c r="D250" s="31"/>
      <c r="E250" s="31"/>
      <c r="F250" s="26" t="n">
        <f aca="false">INT(A250-4/24)</f>
        <v>46258</v>
      </c>
    </row>
    <row r="251" customFormat="false" ht="15" hidden="false" customHeight="false" outlineLevel="0" collapsed="false">
      <c r="A251" s="30" t="n">
        <v>46258.8951388889</v>
      </c>
      <c r="B251" s="31" t="s">
        <v>77</v>
      </c>
      <c r="C251" s="31"/>
      <c r="D251" s="31"/>
      <c r="E251" s="31"/>
      <c r="F251" s="26" t="n">
        <f aca="false">INT(A251-4/24)</f>
        <v>46258</v>
      </c>
    </row>
    <row r="252" customFormat="false" ht="15" hidden="false" customHeight="false" outlineLevel="0" collapsed="false">
      <c r="A252" s="30" t="n">
        <v>46258.9680555556</v>
      </c>
      <c r="B252" s="31" t="s">
        <v>80</v>
      </c>
      <c r="C252" s="31"/>
      <c r="D252" s="31"/>
      <c r="E252" s="31"/>
      <c r="F252" s="26" t="n">
        <f aca="false">INT(A252-4/24)</f>
        <v>46258</v>
      </c>
    </row>
    <row r="253" customFormat="false" ht="15" hidden="false" customHeight="false" outlineLevel="0" collapsed="false">
      <c r="A253" s="30" t="n">
        <v>46258.9979166667</v>
      </c>
      <c r="B253" s="31" t="s">
        <v>81</v>
      </c>
      <c r="C253" s="31"/>
      <c r="D253" s="31"/>
      <c r="E253" s="31"/>
      <c r="F253" s="26" t="n">
        <f aca="false">INT(A253-4/24)</f>
        <v>46258</v>
      </c>
    </row>
    <row r="254" customFormat="false" ht="15" hidden="false" customHeight="false" outlineLevel="0" collapsed="false">
      <c r="A254" s="30" t="n">
        <v>46258.9979166667</v>
      </c>
      <c r="B254" s="31" t="s">
        <v>74</v>
      </c>
      <c r="C254" s="31"/>
      <c r="D254" s="31" t="s">
        <v>82</v>
      </c>
      <c r="E254" s="31"/>
      <c r="F254" s="26" t="n">
        <f aca="false">INT(A254-4/24)</f>
        <v>46258</v>
      </c>
    </row>
    <row r="255" customFormat="false" ht="15" hidden="false" customHeight="false" outlineLevel="0" collapsed="false">
      <c r="A255" s="30" t="n">
        <v>46259.0020833333</v>
      </c>
      <c r="B255" s="31" t="s">
        <v>75</v>
      </c>
      <c r="C255" s="31"/>
      <c r="D255" s="31"/>
      <c r="E255" s="31"/>
      <c r="F255" s="26" t="n">
        <f aca="false">INT(A255-4/24)</f>
        <v>46258</v>
      </c>
    </row>
    <row r="256" customFormat="false" ht="15" hidden="false" customHeight="false" outlineLevel="0" collapsed="false">
      <c r="A256" s="30" t="n">
        <v>46259.0020833333</v>
      </c>
      <c r="B256" s="31" t="s">
        <v>77</v>
      </c>
      <c r="C256" s="31" t="n">
        <v>4</v>
      </c>
      <c r="D256" s="31"/>
      <c r="E256" s="31"/>
      <c r="F256" s="26" t="n">
        <f aca="false">INT(A256-4/24)</f>
        <v>46258</v>
      </c>
    </row>
    <row r="257" customFormat="false" ht="15" hidden="false" customHeight="false" outlineLevel="0" collapsed="false">
      <c r="A257" s="30" t="n">
        <v>46259.0208333333</v>
      </c>
      <c r="B257" s="31" t="s">
        <v>20</v>
      </c>
      <c r="C257" s="31"/>
      <c r="D257" s="31"/>
      <c r="E257" s="31"/>
      <c r="F257" s="26" t="n">
        <f aca="false">INT(A257-4/24)</f>
        <v>46258</v>
      </c>
    </row>
    <row r="258" customFormat="false" ht="15" hidden="false" customHeight="false" outlineLevel="0" collapsed="false">
      <c r="A258" s="30" t="n">
        <v>46259.2930555556</v>
      </c>
      <c r="B258" s="31" t="s">
        <v>79</v>
      </c>
      <c r="C258" s="31"/>
      <c r="D258" s="31"/>
      <c r="E258" s="31"/>
      <c r="F258" s="26" t="n">
        <f aca="false">INT(A258-4/24)</f>
        <v>46259</v>
      </c>
    </row>
    <row r="259" customFormat="false" ht="15" hidden="false" customHeight="false" outlineLevel="0" collapsed="false">
      <c r="A259" s="30" t="n">
        <v>46259.2965277778</v>
      </c>
      <c r="B259" s="31" t="s">
        <v>74</v>
      </c>
      <c r="C259" s="31"/>
      <c r="D259" s="31" t="s">
        <v>82</v>
      </c>
      <c r="E259" s="31"/>
      <c r="F259" s="26" t="n">
        <f aca="false">INT(A259-4/24)</f>
        <v>46259</v>
      </c>
    </row>
    <row r="260" customFormat="false" ht="15" hidden="false" customHeight="false" outlineLevel="0" collapsed="false">
      <c r="A260" s="30" t="n">
        <v>46259.3076388889</v>
      </c>
      <c r="B260" s="31" t="s">
        <v>77</v>
      </c>
      <c r="C260" s="31" t="n">
        <v>4</v>
      </c>
      <c r="D260" s="31"/>
      <c r="E260" s="31"/>
      <c r="F260" s="26" t="n">
        <f aca="false">INT(A260-4/24)</f>
        <v>46259</v>
      </c>
    </row>
    <row r="261" customFormat="false" ht="15" hidden="false" customHeight="false" outlineLevel="0" collapsed="false">
      <c r="A261" s="30" t="n">
        <v>46259.3368055556</v>
      </c>
      <c r="B261" s="31" t="s">
        <v>75</v>
      </c>
      <c r="C261" s="31"/>
      <c r="D261" s="31"/>
      <c r="E261" s="31"/>
      <c r="F261" s="26" t="n">
        <f aca="false">INT(A261-4/24)</f>
        <v>46259</v>
      </c>
    </row>
    <row r="262" customFormat="false" ht="15" hidden="false" customHeight="false" outlineLevel="0" collapsed="false">
      <c r="A262" s="30" t="n">
        <v>46259.3451388889</v>
      </c>
      <c r="B262" s="31" t="s">
        <v>80</v>
      </c>
      <c r="C262" s="31"/>
      <c r="D262" s="31"/>
      <c r="E262" s="31"/>
      <c r="F262" s="26" t="n">
        <f aca="false">INT(A262-4/24)</f>
        <v>46259</v>
      </c>
    </row>
    <row r="263" customFormat="false" ht="15" hidden="false" customHeight="false" outlineLevel="0" collapsed="false">
      <c r="A263" s="30" t="n">
        <v>46259.3791666667</v>
      </c>
      <c r="B263" s="31" t="s">
        <v>81</v>
      </c>
      <c r="C263" s="31"/>
      <c r="D263" s="31"/>
      <c r="E263" s="31"/>
      <c r="F263" s="26" t="n">
        <f aca="false">INT(A263-4/24)</f>
        <v>46259</v>
      </c>
    </row>
    <row r="264" customFormat="false" ht="15" hidden="false" customHeight="false" outlineLevel="0" collapsed="false">
      <c r="A264" s="30" t="n">
        <v>46259.4138888889</v>
      </c>
      <c r="B264" s="31" t="s">
        <v>74</v>
      </c>
      <c r="C264" s="31"/>
      <c r="D264" s="31" t="s">
        <v>82</v>
      </c>
      <c r="E264" s="31"/>
      <c r="F264" s="26" t="n">
        <f aca="false">INT(A264-4/24)</f>
        <v>46259</v>
      </c>
    </row>
    <row r="265" customFormat="false" ht="15" hidden="false" customHeight="false" outlineLevel="0" collapsed="false">
      <c r="A265" s="30" t="n">
        <v>46259.4416666667</v>
      </c>
      <c r="B265" s="31" t="s">
        <v>77</v>
      </c>
      <c r="C265" s="31" t="n">
        <v>4</v>
      </c>
      <c r="D265" s="31"/>
      <c r="E265" s="31"/>
      <c r="F265" s="26" t="n">
        <f aca="false">INT(A265-4/24)</f>
        <v>46259</v>
      </c>
    </row>
    <row r="266" customFormat="false" ht="15" hidden="false" customHeight="false" outlineLevel="0" collapsed="false">
      <c r="A266" s="30" t="n">
        <v>46259.4659722222</v>
      </c>
      <c r="B266" s="31" t="s">
        <v>80</v>
      </c>
      <c r="C266" s="31"/>
      <c r="D266" s="31"/>
      <c r="E266" s="31"/>
      <c r="F266" s="26" t="n">
        <f aca="false">INT(A266-4/24)</f>
        <v>46259</v>
      </c>
    </row>
    <row r="267" customFormat="false" ht="15" hidden="false" customHeight="false" outlineLevel="0" collapsed="false">
      <c r="A267" s="30" t="n">
        <v>46259.4791666667</v>
      </c>
      <c r="B267" s="31" t="s">
        <v>81</v>
      </c>
      <c r="C267" s="31"/>
      <c r="D267" s="31"/>
      <c r="E267" s="31"/>
      <c r="F267" s="26" t="n">
        <f aca="false">INT(A267-4/24)</f>
        <v>46259</v>
      </c>
    </row>
    <row r="268" customFormat="false" ht="15" hidden="false" customHeight="false" outlineLevel="0" collapsed="false">
      <c r="A268" s="30" t="n">
        <v>46259.5527777778</v>
      </c>
      <c r="B268" s="31" t="s">
        <v>80</v>
      </c>
      <c r="C268" s="31"/>
      <c r="D268" s="31"/>
      <c r="E268" s="31"/>
      <c r="F268" s="26" t="n">
        <f aca="false">INT(A268-4/24)</f>
        <v>46259</v>
      </c>
    </row>
    <row r="269" customFormat="false" ht="15" hidden="false" customHeight="false" outlineLevel="0" collapsed="false">
      <c r="A269" s="30" t="n">
        <v>46259.5541666667</v>
      </c>
      <c r="B269" s="31" t="s">
        <v>81</v>
      </c>
      <c r="C269" s="31"/>
      <c r="D269" s="31"/>
      <c r="E269" s="31"/>
      <c r="F269" s="26" t="n">
        <f aca="false">INT(A269-4/24)</f>
        <v>46259</v>
      </c>
    </row>
    <row r="270" customFormat="false" ht="15" hidden="false" customHeight="false" outlineLevel="0" collapsed="false">
      <c r="A270" s="30" t="n">
        <v>46259.5673611111</v>
      </c>
      <c r="B270" s="31" t="s">
        <v>77</v>
      </c>
      <c r="C270" s="31" t="n">
        <v>4</v>
      </c>
      <c r="D270" s="31"/>
      <c r="E270" s="31"/>
      <c r="F270" s="26" t="n">
        <f aca="false">INT(A270-4/24)</f>
        <v>46259</v>
      </c>
    </row>
    <row r="271" customFormat="false" ht="15" hidden="false" customHeight="false" outlineLevel="0" collapsed="false">
      <c r="A271" s="30" t="n">
        <v>46259.6298611111</v>
      </c>
      <c r="B271" s="31" t="s">
        <v>74</v>
      </c>
      <c r="C271" s="31"/>
      <c r="D271" s="31" t="s">
        <v>82</v>
      </c>
      <c r="E271" s="31"/>
      <c r="F271" s="26" t="n">
        <f aca="false">INT(A271-4/24)</f>
        <v>46259</v>
      </c>
    </row>
    <row r="272" customFormat="false" ht="15" hidden="false" customHeight="false" outlineLevel="0" collapsed="false">
      <c r="A272" s="30" t="n">
        <v>46259.6319444445</v>
      </c>
      <c r="B272" s="31" t="s">
        <v>80</v>
      </c>
      <c r="C272" s="31"/>
      <c r="D272" s="31"/>
      <c r="E272" s="31"/>
      <c r="F272" s="26" t="n">
        <f aca="false">INT(A272-4/24)</f>
        <v>46259</v>
      </c>
    </row>
    <row r="273" customFormat="false" ht="15" hidden="false" customHeight="false" outlineLevel="0" collapsed="false">
      <c r="A273" s="30" t="n">
        <v>46259.6666666667</v>
      </c>
      <c r="B273" s="31" t="s">
        <v>81</v>
      </c>
      <c r="C273" s="31"/>
      <c r="D273" s="31"/>
      <c r="E273" s="31"/>
      <c r="F273" s="26" t="n">
        <f aca="false">INT(A273-4/24)</f>
        <v>46259</v>
      </c>
    </row>
    <row r="274" customFormat="false" ht="15" hidden="false" customHeight="false" outlineLevel="0" collapsed="false">
      <c r="A274" s="30" t="n">
        <v>46259.6770833333</v>
      </c>
      <c r="B274" s="31" t="s">
        <v>75</v>
      </c>
      <c r="C274" s="31"/>
      <c r="D274" s="31"/>
      <c r="E274" s="31"/>
      <c r="F274" s="26" t="n">
        <f aca="false">INT(A274-4/24)</f>
        <v>46259</v>
      </c>
    </row>
    <row r="275" customFormat="false" ht="15" hidden="false" customHeight="false" outlineLevel="0" collapsed="false">
      <c r="A275" s="30" t="n">
        <v>46259.6805555556</v>
      </c>
      <c r="B275" s="31" t="s">
        <v>74</v>
      </c>
      <c r="C275" s="31"/>
      <c r="D275" s="31" t="s">
        <v>82</v>
      </c>
      <c r="E275" s="31"/>
      <c r="F275" s="26" t="n">
        <f aca="false">INT(A275-4/24)</f>
        <v>46259</v>
      </c>
    </row>
    <row r="276" customFormat="false" ht="15" hidden="false" customHeight="false" outlineLevel="0" collapsed="false">
      <c r="A276" s="30" t="n">
        <v>46259.6902777778</v>
      </c>
      <c r="B276" s="31" t="s">
        <v>77</v>
      </c>
      <c r="C276" s="31" t="n">
        <v>4</v>
      </c>
      <c r="D276" s="31"/>
      <c r="E276" s="31"/>
      <c r="F276" s="26" t="n">
        <f aca="false">INT(A276-4/24)</f>
        <v>46259</v>
      </c>
    </row>
    <row r="277" customFormat="false" ht="15" hidden="false" customHeight="false" outlineLevel="0" collapsed="false">
      <c r="A277" s="30" t="n">
        <v>46259.7215277778</v>
      </c>
      <c r="B277" s="31" t="s">
        <v>74</v>
      </c>
      <c r="C277" s="31"/>
      <c r="D277" s="31"/>
      <c r="E277" s="31"/>
      <c r="F277" s="26" t="n">
        <f aca="false">INT(A277-4/24)</f>
        <v>46259</v>
      </c>
    </row>
    <row r="278" customFormat="false" ht="15" hidden="false" customHeight="false" outlineLevel="0" collapsed="false">
      <c r="A278" s="30" t="n">
        <v>46259.8118055556</v>
      </c>
      <c r="B278" s="31" t="s">
        <v>77</v>
      </c>
      <c r="C278" s="31"/>
      <c r="D278" s="31"/>
      <c r="E278" s="31"/>
      <c r="F278" s="26" t="n">
        <f aca="false">INT(A278-4/24)</f>
        <v>46259</v>
      </c>
    </row>
    <row r="279" customFormat="false" ht="15" hidden="false" customHeight="false" outlineLevel="0" collapsed="false">
      <c r="A279" s="30" t="n">
        <v>46259.8541666667</v>
      </c>
      <c r="B279" s="31" t="s">
        <v>74</v>
      </c>
      <c r="C279" s="31"/>
      <c r="D279" s="31" t="s">
        <v>82</v>
      </c>
      <c r="E279" s="31"/>
      <c r="F279" s="26" t="n">
        <f aca="false">INT(A279-4/24)</f>
        <v>46259</v>
      </c>
    </row>
    <row r="280" customFormat="false" ht="15" hidden="false" customHeight="false" outlineLevel="0" collapsed="false">
      <c r="A280" s="30" t="n">
        <v>46260</v>
      </c>
      <c r="B280" s="31" t="s">
        <v>75</v>
      </c>
      <c r="C280" s="31"/>
      <c r="D280" s="31"/>
      <c r="E280" s="31"/>
      <c r="F280" s="26" t="n">
        <f aca="false">INT(A280-4/24)</f>
        <v>46259</v>
      </c>
    </row>
    <row r="281" customFormat="false" ht="15" hidden="false" customHeight="false" outlineLevel="0" collapsed="false">
      <c r="A281" s="30" t="n">
        <v>46260.0020833333</v>
      </c>
      <c r="B281" s="31" t="s">
        <v>20</v>
      </c>
      <c r="C281" s="31"/>
      <c r="D281" s="31"/>
      <c r="E281" s="31"/>
      <c r="F281" s="26" t="n">
        <f aca="false">INT(A281-4/24)</f>
        <v>46259</v>
      </c>
    </row>
    <row r="282" customFormat="false" ht="15" hidden="false" customHeight="false" outlineLevel="0" collapsed="false">
      <c r="A282" s="30" t="n">
        <v>46260.2520833333</v>
      </c>
      <c r="B282" s="31" t="s">
        <v>79</v>
      </c>
      <c r="C282" s="31"/>
      <c r="D282" s="31"/>
      <c r="E282" s="31"/>
      <c r="F282" s="26" t="n">
        <f aca="false">INT(A282-4/24)</f>
        <v>46260</v>
      </c>
    </row>
    <row r="283" customFormat="false" ht="15" hidden="false" customHeight="false" outlineLevel="0" collapsed="false">
      <c r="A283" s="30" t="n">
        <v>46260.2590277778</v>
      </c>
      <c r="B283" s="31" t="s">
        <v>74</v>
      </c>
      <c r="C283" s="31"/>
      <c r="D283" s="31" t="s">
        <v>82</v>
      </c>
      <c r="E283" s="31"/>
      <c r="F283" s="26" t="n">
        <f aca="false">INT(A283-4/24)</f>
        <v>46260</v>
      </c>
    </row>
    <row r="284" customFormat="false" ht="15" hidden="false" customHeight="false" outlineLevel="0" collapsed="false">
      <c r="A284" s="30" t="n">
        <v>46260.2694444444</v>
      </c>
      <c r="B284" s="31" t="s">
        <v>77</v>
      </c>
      <c r="C284" s="31" t="n">
        <v>4</v>
      </c>
      <c r="D284" s="31"/>
      <c r="E284" s="31"/>
      <c r="F284" s="26" t="n">
        <f aca="false">INT(A284-4/24)</f>
        <v>46260</v>
      </c>
    </row>
    <row r="285" customFormat="false" ht="15" hidden="false" customHeight="false" outlineLevel="0" collapsed="false">
      <c r="A285" s="30" t="n">
        <v>46260.3020833333</v>
      </c>
      <c r="B285" s="31" t="s">
        <v>80</v>
      </c>
      <c r="C285" s="31"/>
      <c r="D285" s="31"/>
      <c r="E285" s="31"/>
      <c r="F285" s="26" t="n">
        <f aca="false">INT(A285-4/24)</f>
        <v>46260</v>
      </c>
    </row>
    <row r="286" customFormat="false" ht="15" hidden="false" customHeight="false" outlineLevel="0" collapsed="false">
      <c r="A286" s="30" t="n">
        <v>46260.375</v>
      </c>
      <c r="B286" s="31" t="s">
        <v>75</v>
      </c>
      <c r="C286" s="31"/>
      <c r="D286" s="31"/>
      <c r="E286" s="31"/>
      <c r="F286" s="26" t="n">
        <f aca="false">INT(A286-4/24)</f>
        <v>46260</v>
      </c>
    </row>
    <row r="287" customFormat="false" ht="15" hidden="false" customHeight="false" outlineLevel="0" collapsed="false">
      <c r="A287" s="30" t="n">
        <v>46260.375</v>
      </c>
      <c r="B287" s="31" t="s">
        <v>77</v>
      </c>
      <c r="C287" s="31" t="n">
        <v>4</v>
      </c>
      <c r="D287" s="31"/>
      <c r="E287" s="31"/>
      <c r="F287" s="26" t="n">
        <f aca="false">INT(A287-4/24)</f>
        <v>46260</v>
      </c>
    </row>
    <row r="288" customFormat="false" ht="15" hidden="false" customHeight="false" outlineLevel="0" collapsed="false">
      <c r="A288" s="30" t="n">
        <v>46260.3770833333</v>
      </c>
      <c r="B288" s="31" t="s">
        <v>81</v>
      </c>
      <c r="C288" s="31"/>
      <c r="D288" s="31"/>
      <c r="E288" s="31"/>
      <c r="F288" s="26" t="n">
        <f aca="false">INT(A288-4/24)</f>
        <v>46260</v>
      </c>
    </row>
    <row r="289" customFormat="false" ht="15" hidden="false" customHeight="false" outlineLevel="0" collapsed="false">
      <c r="A289" s="30" t="n">
        <v>46260.3854166667</v>
      </c>
      <c r="B289" s="31" t="s">
        <v>75</v>
      </c>
      <c r="C289" s="31"/>
      <c r="D289" s="31"/>
      <c r="E289" s="31"/>
      <c r="F289" s="26" t="n">
        <f aca="false">INT(A289-4/24)</f>
        <v>46260</v>
      </c>
    </row>
    <row r="290" customFormat="false" ht="15" hidden="false" customHeight="false" outlineLevel="0" collapsed="false">
      <c r="A290" s="30" t="n">
        <v>46260.3923611111</v>
      </c>
      <c r="B290" s="31" t="s">
        <v>77</v>
      </c>
      <c r="C290" s="31" t="n">
        <v>4</v>
      </c>
      <c r="D290" s="31"/>
      <c r="E290" s="31"/>
      <c r="F290" s="26" t="n">
        <f aca="false">INT(A290-4/24)</f>
        <v>46260</v>
      </c>
    </row>
    <row r="291" customFormat="false" ht="15" hidden="false" customHeight="false" outlineLevel="0" collapsed="false">
      <c r="A291" s="30" t="n">
        <v>46260.4715277778</v>
      </c>
      <c r="B291" s="31" t="s">
        <v>74</v>
      </c>
      <c r="C291" s="31"/>
      <c r="D291" s="31" t="s">
        <v>82</v>
      </c>
      <c r="E291" s="31"/>
      <c r="F291" s="26" t="n">
        <f aca="false">INT(A291-4/24)</f>
        <v>46260</v>
      </c>
    </row>
    <row r="292" customFormat="false" ht="15" hidden="false" customHeight="false" outlineLevel="0" collapsed="false">
      <c r="A292" s="30" t="n">
        <v>46260.4888888889</v>
      </c>
      <c r="B292" s="31" t="s">
        <v>80</v>
      </c>
      <c r="C292" s="31"/>
      <c r="D292" s="31"/>
      <c r="E292" s="31"/>
      <c r="F292" s="26" t="n">
        <f aca="false">INT(A292-4/24)</f>
        <v>46260</v>
      </c>
    </row>
    <row r="293" customFormat="false" ht="15" hidden="false" customHeight="false" outlineLevel="0" collapsed="false">
      <c r="A293" s="30" t="n">
        <v>46260.5138888889</v>
      </c>
      <c r="B293" s="31" t="s">
        <v>81</v>
      </c>
      <c r="C293" s="31"/>
      <c r="D293" s="31"/>
      <c r="E293" s="31"/>
      <c r="F293" s="26" t="n">
        <f aca="false">INT(A293-4/24)</f>
        <v>46260</v>
      </c>
    </row>
    <row r="294" customFormat="false" ht="15" hidden="false" customHeight="false" outlineLevel="0" collapsed="false">
      <c r="A294" s="30" t="n">
        <v>46260.5291666667</v>
      </c>
      <c r="B294" s="31" t="s">
        <v>77</v>
      </c>
      <c r="C294" s="31" t="n">
        <v>4</v>
      </c>
      <c r="D294" s="31"/>
      <c r="E294" s="31"/>
      <c r="F294" s="26" t="n">
        <f aca="false">INT(A294-4/24)</f>
        <v>46260</v>
      </c>
    </row>
    <row r="295" customFormat="false" ht="15" hidden="false" customHeight="false" outlineLevel="0" collapsed="false">
      <c r="A295" s="30" t="n">
        <v>46260.5465277778</v>
      </c>
      <c r="B295" s="31" t="s">
        <v>80</v>
      </c>
      <c r="C295" s="31"/>
      <c r="D295" s="31"/>
      <c r="E295" s="31"/>
      <c r="F295" s="26" t="n">
        <f aca="false">INT(A295-4/24)</f>
        <v>46260</v>
      </c>
    </row>
    <row r="296" customFormat="false" ht="15" hidden="false" customHeight="false" outlineLevel="0" collapsed="false">
      <c r="A296" s="30" t="n">
        <v>46260.5708333333</v>
      </c>
      <c r="B296" s="31" t="s">
        <v>81</v>
      </c>
      <c r="C296" s="31"/>
      <c r="D296" s="31"/>
      <c r="E296" s="31"/>
      <c r="F296" s="26" t="n">
        <f aca="false">INT(A296-4/24)</f>
        <v>46260</v>
      </c>
    </row>
    <row r="297" customFormat="false" ht="15" hidden="false" customHeight="false" outlineLevel="0" collapsed="false">
      <c r="A297" s="30" t="n">
        <v>46260.6270833333</v>
      </c>
      <c r="B297" s="31" t="s">
        <v>80</v>
      </c>
      <c r="C297" s="31"/>
      <c r="D297" s="31"/>
      <c r="E297" s="31"/>
      <c r="F297" s="26" t="n">
        <f aca="false">INT(A297-4/24)</f>
        <v>46260</v>
      </c>
    </row>
    <row r="298" customFormat="false" ht="15" hidden="false" customHeight="false" outlineLevel="0" collapsed="false">
      <c r="A298" s="30" t="n">
        <v>46260.6444444444</v>
      </c>
      <c r="B298" s="31" t="s">
        <v>81</v>
      </c>
      <c r="C298" s="31"/>
      <c r="D298" s="31"/>
      <c r="E298" s="31"/>
      <c r="F298" s="26" t="n">
        <f aca="false">INT(A298-4/24)</f>
        <v>46260</v>
      </c>
    </row>
    <row r="299" customFormat="false" ht="15" hidden="false" customHeight="false" outlineLevel="0" collapsed="false">
      <c r="A299" s="30" t="n">
        <v>46260.6548611111</v>
      </c>
      <c r="B299" s="31" t="s">
        <v>77</v>
      </c>
      <c r="C299" s="31" t="n">
        <v>4</v>
      </c>
      <c r="D299" s="31"/>
      <c r="E299" s="31"/>
      <c r="F299" s="26" t="n">
        <f aca="false">INT(A299-4/24)</f>
        <v>46260</v>
      </c>
    </row>
    <row r="300" customFormat="false" ht="15" hidden="false" customHeight="false" outlineLevel="0" collapsed="false">
      <c r="A300" s="30" t="n">
        <v>46260.6923611111</v>
      </c>
      <c r="B300" s="31" t="s">
        <v>74</v>
      </c>
      <c r="C300" s="31"/>
      <c r="D300" s="31" t="s">
        <v>82</v>
      </c>
      <c r="E300" s="31"/>
      <c r="F300" s="26" t="n">
        <f aca="false">INT(A300-4/24)</f>
        <v>46260</v>
      </c>
    </row>
    <row r="301" customFormat="false" ht="15" hidden="false" customHeight="false" outlineLevel="0" collapsed="false">
      <c r="A301" s="30" t="n">
        <v>46260.69375</v>
      </c>
      <c r="B301" s="31" t="s">
        <v>75</v>
      </c>
      <c r="C301" s="31"/>
      <c r="D301" s="31"/>
      <c r="E301" s="31"/>
      <c r="F301" s="26" t="n">
        <f aca="false">INT(A301-4/24)</f>
        <v>46260</v>
      </c>
    </row>
    <row r="302" customFormat="false" ht="15" hidden="false" customHeight="false" outlineLevel="0" collapsed="false">
      <c r="A302" s="30" t="n">
        <v>46260.7326388889</v>
      </c>
      <c r="B302" s="31" t="s">
        <v>80</v>
      </c>
      <c r="C302" s="31"/>
      <c r="D302" s="31"/>
      <c r="E302" s="31"/>
      <c r="F302" s="26" t="n">
        <f aca="false">INT(A302-4/24)</f>
        <v>46260</v>
      </c>
    </row>
    <row r="303" customFormat="false" ht="15" hidden="false" customHeight="false" outlineLevel="0" collapsed="false">
      <c r="A303" s="30" t="n">
        <v>46260.75</v>
      </c>
      <c r="B303" s="31" t="s">
        <v>81</v>
      </c>
      <c r="C303" s="31"/>
      <c r="D303" s="31"/>
      <c r="E303" s="31"/>
      <c r="F303" s="26" t="n">
        <f aca="false">INT(A303-4/24)</f>
        <v>46260</v>
      </c>
    </row>
    <row r="304" customFormat="false" ht="15" hidden="false" customHeight="false" outlineLevel="0" collapsed="false">
      <c r="A304" s="30" t="n">
        <v>46260.7777777778</v>
      </c>
      <c r="B304" s="31" t="s">
        <v>77</v>
      </c>
      <c r="C304" s="31" t="n">
        <v>4</v>
      </c>
      <c r="D304" s="31"/>
      <c r="E304" s="31"/>
      <c r="F304" s="26" t="n">
        <f aca="false">INT(A304-4/24)</f>
        <v>46260</v>
      </c>
    </row>
    <row r="305" customFormat="false" ht="15" hidden="false" customHeight="false" outlineLevel="0" collapsed="false">
      <c r="A305" s="30" t="n">
        <v>46260.8611111111</v>
      </c>
      <c r="B305" s="31" t="s">
        <v>74</v>
      </c>
      <c r="C305" s="31"/>
      <c r="D305" s="31" t="s">
        <v>83</v>
      </c>
      <c r="E305" s="31"/>
      <c r="F305" s="26" t="n">
        <f aca="false">INT(A305-4/24)</f>
        <v>46260</v>
      </c>
    </row>
    <row r="306" customFormat="false" ht="15" hidden="false" customHeight="false" outlineLevel="0" collapsed="false">
      <c r="A306" s="30" t="n">
        <v>46260.9090277778</v>
      </c>
      <c r="B306" s="31" t="s">
        <v>77</v>
      </c>
      <c r="C306" s="31" t="n">
        <v>4</v>
      </c>
      <c r="D306" s="31"/>
      <c r="E306" s="31"/>
      <c r="F306" s="26" t="n">
        <f aca="false">INT(A306-4/24)</f>
        <v>46260</v>
      </c>
    </row>
    <row r="307" customFormat="false" ht="15" hidden="false" customHeight="false" outlineLevel="0" collapsed="false">
      <c r="A307" s="30" t="n">
        <v>46260.9270833333</v>
      </c>
      <c r="B307" s="31" t="s">
        <v>80</v>
      </c>
      <c r="C307" s="31"/>
      <c r="D307" s="31"/>
      <c r="E307" s="31"/>
      <c r="F307" s="26" t="n">
        <f aca="false">INT(A307-4/24)</f>
        <v>46260</v>
      </c>
    </row>
    <row r="308" customFormat="false" ht="15" hidden="false" customHeight="false" outlineLevel="0" collapsed="false">
      <c r="A308" s="30" t="n">
        <v>46261.0118055556</v>
      </c>
      <c r="B308" s="31" t="s">
        <v>81</v>
      </c>
      <c r="C308" s="31"/>
      <c r="D308" s="31"/>
      <c r="E308" s="31"/>
      <c r="F308" s="26" t="n">
        <f aca="false">INT(A308-4/24)</f>
        <v>46260</v>
      </c>
    </row>
    <row r="309" customFormat="false" ht="15" hidden="false" customHeight="false" outlineLevel="0" collapsed="false">
      <c r="A309" s="30" t="n">
        <v>46261.0118055556</v>
      </c>
      <c r="B309" s="31" t="s">
        <v>74</v>
      </c>
      <c r="C309" s="31"/>
      <c r="D309" s="31" t="s">
        <v>82</v>
      </c>
      <c r="E309" s="31"/>
      <c r="F309" s="26" t="n">
        <f aca="false">INT(A309-4/24)</f>
        <v>46260</v>
      </c>
    </row>
    <row r="310" customFormat="false" ht="15" hidden="false" customHeight="false" outlineLevel="0" collapsed="false">
      <c r="A310" s="30" t="n">
        <v>46261.0118055556</v>
      </c>
      <c r="B310" s="31" t="s">
        <v>77</v>
      </c>
      <c r="C310" s="31" t="n">
        <v>4</v>
      </c>
      <c r="D310" s="31"/>
      <c r="E310" s="31"/>
      <c r="F310" s="26" t="n">
        <f aca="false">INT(A310-4/24)</f>
        <v>46260</v>
      </c>
    </row>
    <row r="311" customFormat="false" ht="15" hidden="false" customHeight="false" outlineLevel="0" collapsed="false">
      <c r="A311" s="30" t="n">
        <v>46261.0118055556</v>
      </c>
      <c r="B311" s="31" t="s">
        <v>75</v>
      </c>
      <c r="C311" s="31"/>
      <c r="D311" s="31"/>
      <c r="E311" s="31"/>
      <c r="F311" s="26" t="n">
        <f aca="false">INT(A311-4/24)</f>
        <v>46260</v>
      </c>
    </row>
    <row r="312" customFormat="false" ht="15" hidden="false" customHeight="false" outlineLevel="0" collapsed="false">
      <c r="A312" s="30" t="n">
        <v>46261.0451388889</v>
      </c>
      <c r="B312" s="31" t="s">
        <v>20</v>
      </c>
      <c r="C312" s="31"/>
      <c r="D312" s="31"/>
      <c r="E312" s="31"/>
      <c r="F312" s="26" t="n">
        <f aca="false">INT(A312-4/24)</f>
        <v>46260</v>
      </c>
    </row>
    <row r="313" customFormat="false" ht="15" hidden="false" customHeight="false" outlineLevel="0" collapsed="false">
      <c r="A313" s="30" t="n">
        <v>46261.3402777778</v>
      </c>
      <c r="B313" s="31" t="s">
        <v>79</v>
      </c>
      <c r="C313" s="31"/>
      <c r="D313" s="31"/>
      <c r="E313" s="31"/>
      <c r="F313" s="26" t="n">
        <f aca="false">INT(A313-4/24)</f>
        <v>46261</v>
      </c>
    </row>
    <row r="314" customFormat="false" ht="15" hidden="false" customHeight="false" outlineLevel="0" collapsed="false">
      <c r="A314" s="30" t="n">
        <v>46261.3444444445</v>
      </c>
      <c r="B314" s="31" t="s">
        <v>74</v>
      </c>
      <c r="C314" s="31"/>
      <c r="D314" s="31" t="s">
        <v>82</v>
      </c>
      <c r="E314" s="31"/>
      <c r="F314" s="26" t="n">
        <f aca="false">INT(A314-4/24)</f>
        <v>46261</v>
      </c>
    </row>
    <row r="315" customFormat="false" ht="15" hidden="false" customHeight="false" outlineLevel="0" collapsed="false">
      <c r="A315" s="30" t="n">
        <v>46261.3611111111</v>
      </c>
      <c r="B315" s="31" t="s">
        <v>75</v>
      </c>
      <c r="C315" s="31"/>
      <c r="D315" s="31"/>
      <c r="E315" s="31"/>
      <c r="F315" s="26" t="n">
        <f aca="false">INT(A315-4/24)</f>
        <v>46261</v>
      </c>
    </row>
    <row r="316" customFormat="false" ht="15" hidden="false" customHeight="false" outlineLevel="0" collapsed="false">
      <c r="A316" s="30" t="n">
        <v>46261.3611111111</v>
      </c>
      <c r="B316" s="31" t="s">
        <v>77</v>
      </c>
      <c r="C316" s="31" t="n">
        <v>4</v>
      </c>
      <c r="D316" s="31"/>
      <c r="E316" s="31"/>
      <c r="F316" s="26" t="n">
        <f aca="false">INT(A316-4/24)</f>
        <v>46261</v>
      </c>
    </row>
    <row r="317" customFormat="false" ht="15" hidden="false" customHeight="false" outlineLevel="0" collapsed="false">
      <c r="A317" s="30" t="n">
        <v>46261.4097222222</v>
      </c>
      <c r="B317" s="31" t="s">
        <v>80</v>
      </c>
      <c r="C317" s="31"/>
      <c r="D317" s="31"/>
      <c r="E317" s="31"/>
      <c r="F317" s="26" t="n">
        <f aca="false">INT(A317-4/24)</f>
        <v>46261</v>
      </c>
    </row>
    <row r="318" customFormat="false" ht="15" hidden="false" customHeight="false" outlineLevel="0" collapsed="false">
      <c r="A318" s="30" t="n">
        <v>46261.4375</v>
      </c>
      <c r="B318" s="31" t="s">
        <v>81</v>
      </c>
      <c r="C318" s="31"/>
      <c r="D318" s="31"/>
      <c r="E318" s="31"/>
      <c r="F318" s="26" t="n">
        <f aca="false">INT(A318-4/24)</f>
        <v>46261</v>
      </c>
    </row>
    <row r="319" customFormat="false" ht="15" hidden="false" customHeight="false" outlineLevel="0" collapsed="false">
      <c r="A319" s="30" t="n">
        <v>46261.4625</v>
      </c>
      <c r="B319" s="31" t="s">
        <v>77</v>
      </c>
      <c r="C319" s="31" t="n">
        <v>4</v>
      </c>
      <c r="D319" s="31"/>
      <c r="E319" s="31"/>
      <c r="F319" s="26" t="n">
        <f aca="false">INT(A319-4/24)</f>
        <v>46261</v>
      </c>
    </row>
    <row r="320" customFormat="false" ht="15" hidden="false" customHeight="false" outlineLevel="0" collapsed="false">
      <c r="A320" s="30" t="n">
        <v>46261.5381944445</v>
      </c>
      <c r="B320" s="31" t="s">
        <v>80</v>
      </c>
      <c r="C320" s="31"/>
      <c r="D320" s="31"/>
      <c r="E320" s="31"/>
      <c r="F320" s="26" t="n">
        <f aca="false">INT(A320-4/24)</f>
        <v>46261</v>
      </c>
    </row>
    <row r="321" customFormat="false" ht="15" hidden="false" customHeight="false" outlineLevel="0" collapsed="false">
      <c r="A321" s="30" t="n">
        <v>46261.5520833333</v>
      </c>
      <c r="B321" s="31" t="s">
        <v>81</v>
      </c>
      <c r="C321" s="31"/>
      <c r="D321" s="31"/>
      <c r="E321" s="31"/>
      <c r="F321" s="26" t="n">
        <f aca="false">INT(A321-4/24)</f>
        <v>46261</v>
      </c>
    </row>
    <row r="322" customFormat="false" ht="15" hidden="false" customHeight="false" outlineLevel="0" collapsed="false">
      <c r="A322" s="30" t="n">
        <v>46261.5548611111</v>
      </c>
      <c r="B322" s="31" t="s">
        <v>74</v>
      </c>
      <c r="C322" s="31"/>
      <c r="D322" s="31" t="s">
        <v>82</v>
      </c>
      <c r="E322" s="31"/>
      <c r="F322" s="26" t="n">
        <f aca="false">INT(A322-4/24)</f>
        <v>46261</v>
      </c>
    </row>
    <row r="323" customFormat="false" ht="15" hidden="false" customHeight="false" outlineLevel="0" collapsed="false">
      <c r="A323" s="30" t="n">
        <v>46261.5694444445</v>
      </c>
      <c r="B323" s="31" t="s">
        <v>74</v>
      </c>
      <c r="C323" s="31"/>
      <c r="D323" s="31" t="s">
        <v>84</v>
      </c>
      <c r="E323" s="31"/>
      <c r="F323" s="26" t="n">
        <f aca="false">INT(A323-4/24)</f>
        <v>46261</v>
      </c>
    </row>
    <row r="324" customFormat="false" ht="15" hidden="false" customHeight="false" outlineLevel="0" collapsed="false">
      <c r="A324" s="30" t="n">
        <v>46261.6020833333</v>
      </c>
      <c r="B324" s="31" t="s">
        <v>77</v>
      </c>
      <c r="C324" s="31" t="n">
        <v>4</v>
      </c>
      <c r="D324" s="31"/>
      <c r="E324" s="31"/>
      <c r="F324" s="26" t="n">
        <f aca="false">INT(A324-4/24)</f>
        <v>46261</v>
      </c>
    </row>
    <row r="325" customFormat="false" ht="15" hidden="false" customHeight="false" outlineLevel="0" collapsed="false">
      <c r="A325" s="30" t="n">
        <v>46261.6111111111</v>
      </c>
      <c r="B325" s="31" t="s">
        <v>80</v>
      </c>
      <c r="C325" s="31"/>
      <c r="D325" s="31"/>
      <c r="E325" s="31"/>
      <c r="F325" s="26" t="n">
        <f aca="false">INT(A325-4/24)</f>
        <v>46261</v>
      </c>
    </row>
    <row r="326" customFormat="false" ht="15" hidden="false" customHeight="false" outlineLevel="0" collapsed="false">
      <c r="A326" s="30" t="n">
        <v>46261.6458333333</v>
      </c>
      <c r="B326" s="31" t="s">
        <v>81</v>
      </c>
      <c r="C326" s="31"/>
      <c r="D326" s="31"/>
      <c r="E326" s="31"/>
      <c r="F326" s="26" t="n">
        <f aca="false">INT(A326-4/24)</f>
        <v>46261</v>
      </c>
    </row>
    <row r="327" customFormat="false" ht="15" hidden="false" customHeight="false" outlineLevel="0" collapsed="false">
      <c r="A327" s="30" t="n">
        <v>46261.6805555556</v>
      </c>
      <c r="B327" s="31" t="s">
        <v>74</v>
      </c>
      <c r="C327" s="31"/>
      <c r="D327" s="31" t="s">
        <v>82</v>
      </c>
      <c r="E327" s="31"/>
      <c r="F327" s="26" t="n">
        <f aca="false">INT(A327-4/24)</f>
        <v>46261</v>
      </c>
    </row>
    <row r="328" customFormat="false" ht="15" hidden="false" customHeight="false" outlineLevel="0" collapsed="false">
      <c r="A328" s="30" t="n">
        <v>46261.6958333333</v>
      </c>
      <c r="B328" s="31" t="s">
        <v>75</v>
      </c>
      <c r="C328" s="31"/>
      <c r="D328" s="31"/>
      <c r="E328" s="31"/>
      <c r="F328" s="26" t="n">
        <f aca="false">INT(A328-4/24)</f>
        <v>46261</v>
      </c>
    </row>
    <row r="329" customFormat="false" ht="15" hidden="false" customHeight="false" outlineLevel="0" collapsed="false">
      <c r="A329" s="30" t="n">
        <v>46261.7013888889</v>
      </c>
      <c r="B329" s="31" t="s">
        <v>74</v>
      </c>
      <c r="C329" s="31"/>
      <c r="D329" s="31" t="s">
        <v>84</v>
      </c>
      <c r="E329" s="31"/>
      <c r="F329" s="26" t="n">
        <f aca="false">INT(A329-4/24)</f>
        <v>46261</v>
      </c>
    </row>
    <row r="330" customFormat="false" ht="15" hidden="false" customHeight="false" outlineLevel="0" collapsed="false">
      <c r="A330" s="30" t="n">
        <v>46261.7180555556</v>
      </c>
      <c r="B330" s="31" t="s">
        <v>77</v>
      </c>
      <c r="C330" s="31" t="n">
        <v>4</v>
      </c>
      <c r="D330" s="31"/>
      <c r="E330" s="31"/>
      <c r="F330" s="26" t="n">
        <f aca="false">INT(A330-4/24)</f>
        <v>46261</v>
      </c>
    </row>
    <row r="331" customFormat="false" ht="15" hidden="false" customHeight="false" outlineLevel="0" collapsed="false">
      <c r="A331" s="30" t="n">
        <v>46261.73125</v>
      </c>
      <c r="B331" s="31" t="s">
        <v>80</v>
      </c>
      <c r="C331" s="31"/>
      <c r="D331" s="31"/>
      <c r="E331" s="31"/>
      <c r="F331" s="26" t="n">
        <f aca="false">INT(A331-4/24)</f>
        <v>46261</v>
      </c>
    </row>
    <row r="332" customFormat="false" ht="15" hidden="false" customHeight="false" outlineLevel="0" collapsed="false">
      <c r="A332" s="30" t="n">
        <v>46261.75</v>
      </c>
      <c r="B332" s="31" t="s">
        <v>81</v>
      </c>
      <c r="C332" s="31"/>
      <c r="D332" s="31"/>
      <c r="E332" s="31"/>
      <c r="F332" s="26" t="n">
        <f aca="false">INT(A332-4/24)</f>
        <v>46261</v>
      </c>
    </row>
    <row r="333" customFormat="false" ht="15" hidden="false" customHeight="false" outlineLevel="0" collapsed="false">
      <c r="A333" s="30" t="n">
        <v>46261.8388888889</v>
      </c>
      <c r="B333" s="31" t="s">
        <v>74</v>
      </c>
      <c r="C333" s="31"/>
      <c r="D333" s="31" t="s">
        <v>82</v>
      </c>
      <c r="E333" s="31"/>
      <c r="F333" s="26" t="n">
        <f aca="false">INT(A333-4/24)</f>
        <v>46261</v>
      </c>
    </row>
    <row r="334" customFormat="false" ht="15" hidden="false" customHeight="false" outlineLevel="0" collapsed="false">
      <c r="A334" s="30" t="n">
        <v>46261.8423611111</v>
      </c>
      <c r="B334" s="31" t="s">
        <v>77</v>
      </c>
      <c r="C334" s="31" t="n">
        <v>4</v>
      </c>
      <c r="D334" s="31"/>
      <c r="E334" s="31"/>
      <c r="F334" s="26" t="n">
        <f aca="false">INT(A334-4/24)</f>
        <v>46261</v>
      </c>
    </row>
    <row r="335" customFormat="false" ht="15" hidden="false" customHeight="false" outlineLevel="0" collapsed="false">
      <c r="A335" s="30" t="n">
        <v>46261.8590277778</v>
      </c>
      <c r="B335" s="31" t="s">
        <v>80</v>
      </c>
      <c r="C335" s="31"/>
      <c r="D335" s="31"/>
      <c r="E335" s="31"/>
      <c r="F335" s="26" t="n">
        <f aca="false">INT(A335-4/24)</f>
        <v>46261</v>
      </c>
    </row>
    <row r="336" customFormat="false" ht="15" hidden="false" customHeight="false" outlineLevel="0" collapsed="false">
      <c r="A336" s="30" t="n">
        <v>46261.8770833333</v>
      </c>
      <c r="B336" s="31" t="s">
        <v>81</v>
      </c>
      <c r="C336" s="31"/>
      <c r="D336" s="31"/>
      <c r="E336" s="31"/>
      <c r="F336" s="26" t="n">
        <f aca="false">INT(A336-4/24)</f>
        <v>46261</v>
      </c>
    </row>
    <row r="337" customFormat="false" ht="15" hidden="false" customHeight="false" outlineLevel="0" collapsed="false">
      <c r="A337" s="30" t="n">
        <v>46261.9548611111</v>
      </c>
      <c r="B337" s="31" t="s">
        <v>74</v>
      </c>
      <c r="C337" s="31"/>
      <c r="D337" s="31" t="s">
        <v>82</v>
      </c>
      <c r="E337" s="31"/>
      <c r="F337" s="26" t="n">
        <f aca="false">INT(A337-4/24)</f>
        <v>46261</v>
      </c>
    </row>
    <row r="338" customFormat="false" ht="15" hidden="false" customHeight="false" outlineLevel="0" collapsed="false">
      <c r="A338" s="30" t="n">
        <v>46261.9666666667</v>
      </c>
      <c r="B338" s="31" t="s">
        <v>77</v>
      </c>
      <c r="C338" s="31" t="n">
        <v>4</v>
      </c>
      <c r="D338" s="31"/>
      <c r="E338" s="31"/>
      <c r="F338" s="26" t="n">
        <f aca="false">INT(A338-4/24)</f>
        <v>46261</v>
      </c>
    </row>
    <row r="339" customFormat="false" ht="15" hidden="false" customHeight="false" outlineLevel="0" collapsed="false">
      <c r="A339" s="30" t="n">
        <v>46261.9979166667</v>
      </c>
      <c r="B339" s="31" t="s">
        <v>75</v>
      </c>
      <c r="C339" s="31"/>
      <c r="D339" s="31"/>
      <c r="E339" s="31"/>
      <c r="F339" s="26" t="n">
        <f aca="false">INT(A339-4/24)</f>
        <v>46261</v>
      </c>
    </row>
    <row r="340" customFormat="false" ht="15" hidden="false" customHeight="false" outlineLevel="0" collapsed="false">
      <c r="A340" s="30" t="n">
        <v>46262.0083333333</v>
      </c>
      <c r="B340" s="31" t="s">
        <v>20</v>
      </c>
      <c r="C340" s="31"/>
      <c r="D340" s="31"/>
      <c r="E340" s="31"/>
      <c r="F340" s="26" t="n">
        <f aca="false">INT(A340-4/24)</f>
        <v>46261</v>
      </c>
    </row>
    <row r="341" customFormat="false" ht="15" hidden="false" customHeight="false" outlineLevel="0" collapsed="false">
      <c r="A341" s="30" t="n">
        <v>46262.1965277778</v>
      </c>
      <c r="B341" s="31" t="s">
        <v>79</v>
      </c>
      <c r="C341" s="31"/>
      <c r="D341" s="31"/>
      <c r="E341" s="31"/>
      <c r="F341" s="26" t="n">
        <f aca="false">INT(A341-4/24)</f>
        <v>46262</v>
      </c>
    </row>
    <row r="342" customFormat="false" ht="15" hidden="false" customHeight="false" outlineLevel="0" collapsed="false">
      <c r="A342" s="30" t="n">
        <v>46262.2041666667</v>
      </c>
      <c r="B342" s="31" t="s">
        <v>77</v>
      </c>
      <c r="C342" s="31" t="n">
        <v>4</v>
      </c>
      <c r="D342" s="31"/>
      <c r="E342" s="31"/>
      <c r="F342" s="26" t="n">
        <f aca="false">INT(A342-4/24)</f>
        <v>46262</v>
      </c>
    </row>
    <row r="343" customFormat="false" ht="15" hidden="false" customHeight="false" outlineLevel="0" collapsed="false">
      <c r="A343" s="30" t="n">
        <v>46262.2430555556</v>
      </c>
      <c r="B343" s="31" t="s">
        <v>20</v>
      </c>
      <c r="C343" s="31"/>
      <c r="D343" s="31"/>
      <c r="E343" s="31"/>
      <c r="F343" s="26" t="n">
        <f aca="false">INT(A343-4/24)</f>
        <v>46262</v>
      </c>
    </row>
    <row r="344" customFormat="false" ht="15" hidden="false" customHeight="false" outlineLevel="0" collapsed="false">
      <c r="A344" s="30" t="n">
        <v>46262.3854166667</v>
      </c>
      <c r="B344" s="31" t="s">
        <v>79</v>
      </c>
      <c r="C344" s="31"/>
      <c r="D344" s="31"/>
      <c r="E344" s="31"/>
      <c r="F344" s="26" t="n">
        <f aca="false">INT(A344-4/24)</f>
        <v>46262</v>
      </c>
    </row>
    <row r="345" customFormat="false" ht="15" hidden="false" customHeight="false" outlineLevel="0" collapsed="false">
      <c r="A345" s="30" t="n">
        <v>46262.3958333333</v>
      </c>
      <c r="B345" s="31" t="s">
        <v>77</v>
      </c>
      <c r="C345" s="31" t="n">
        <v>4</v>
      </c>
      <c r="D345" s="31"/>
      <c r="E345" s="31"/>
      <c r="F345" s="26" t="n">
        <f aca="false">INT(A345-4/24)</f>
        <v>46262</v>
      </c>
    </row>
    <row r="346" customFormat="false" ht="15" hidden="false" customHeight="false" outlineLevel="0" collapsed="false">
      <c r="A346" s="30" t="n">
        <v>46262.55625</v>
      </c>
      <c r="B346" s="31" t="s">
        <v>74</v>
      </c>
      <c r="C346" s="31"/>
      <c r="D346" s="31" t="s">
        <v>82</v>
      </c>
      <c r="E346" s="31"/>
      <c r="F346" s="26" t="n">
        <f aca="false">INT(A346-4/24)</f>
        <v>46262</v>
      </c>
    </row>
    <row r="347" customFormat="false" ht="15" hidden="false" customHeight="false" outlineLevel="0" collapsed="false">
      <c r="A347" s="30" t="n">
        <v>46262.5861111111</v>
      </c>
      <c r="B347" s="31" t="s">
        <v>80</v>
      </c>
      <c r="C347" s="31"/>
      <c r="D347" s="31"/>
      <c r="E347" s="31"/>
      <c r="F347" s="26" t="n">
        <f aca="false">INT(A347-4/24)</f>
        <v>46262</v>
      </c>
    </row>
    <row r="348" customFormat="false" ht="15" hidden="false" customHeight="false" outlineLevel="0" collapsed="false">
      <c r="A348" s="30" t="n">
        <v>46262.6145833333</v>
      </c>
      <c r="B348" s="31" t="s">
        <v>81</v>
      </c>
      <c r="C348" s="31"/>
      <c r="D348" s="31"/>
      <c r="E348" s="31"/>
      <c r="F348" s="26" t="n">
        <f aca="false">INT(A348-4/24)</f>
        <v>46262</v>
      </c>
    </row>
    <row r="349" customFormat="false" ht="15" hidden="false" customHeight="false" outlineLevel="0" collapsed="false">
      <c r="A349" s="30" t="n">
        <v>46262.6270833333</v>
      </c>
      <c r="B349" s="31" t="s">
        <v>74</v>
      </c>
      <c r="C349" s="31"/>
      <c r="D349" s="31" t="s">
        <v>84</v>
      </c>
      <c r="E349" s="31"/>
      <c r="F349" s="26" t="n">
        <f aca="false">INT(A349-4/24)</f>
        <v>46262</v>
      </c>
    </row>
    <row r="350" customFormat="false" ht="15" hidden="false" customHeight="false" outlineLevel="0" collapsed="false">
      <c r="A350" s="30" t="n">
        <v>46262.6527777778</v>
      </c>
      <c r="B350" s="31" t="s">
        <v>77</v>
      </c>
      <c r="C350" s="31" t="n">
        <v>4</v>
      </c>
      <c r="D350" s="31"/>
      <c r="E350" s="31"/>
      <c r="F350" s="26" t="n">
        <f aca="false">INT(A350-4/24)</f>
        <v>46262</v>
      </c>
    </row>
    <row r="351" customFormat="false" ht="15" hidden="false" customHeight="false" outlineLevel="0" collapsed="false">
      <c r="A351" s="30" t="n">
        <v>46262.7118055556</v>
      </c>
      <c r="B351" s="31" t="s">
        <v>75</v>
      </c>
      <c r="C351" s="31"/>
      <c r="D351" s="31"/>
      <c r="E351" s="31"/>
      <c r="F351" s="26" t="n">
        <f aca="false">INT(A351-4/24)</f>
        <v>46262</v>
      </c>
    </row>
    <row r="352" customFormat="false" ht="15" hidden="false" customHeight="false" outlineLevel="0" collapsed="false">
      <c r="A352" s="30" t="n">
        <v>46262.7798611111</v>
      </c>
      <c r="B352" s="31" t="s">
        <v>77</v>
      </c>
      <c r="C352" s="31" t="n">
        <v>4</v>
      </c>
      <c r="D352" s="31"/>
      <c r="E352" s="31"/>
      <c r="F352" s="26" t="n">
        <f aca="false">INT(A352-4/24)</f>
        <v>46262</v>
      </c>
    </row>
    <row r="353" customFormat="false" ht="15" hidden="false" customHeight="false" outlineLevel="0" collapsed="false">
      <c r="A353" s="30" t="n">
        <v>46262.8534722222</v>
      </c>
      <c r="B353" s="31" t="s">
        <v>74</v>
      </c>
      <c r="C353" s="31"/>
      <c r="D353" s="31" t="s">
        <v>82</v>
      </c>
      <c r="E353" s="31"/>
      <c r="F353" s="26" t="n">
        <f aca="false">INT(A353-4/24)</f>
        <v>46262</v>
      </c>
    </row>
    <row r="354" customFormat="false" ht="15" hidden="false" customHeight="false" outlineLevel="0" collapsed="false">
      <c r="A354" s="30" t="n">
        <v>46262.9027777778</v>
      </c>
      <c r="B354" s="31" t="s">
        <v>74</v>
      </c>
      <c r="C354" s="31"/>
      <c r="D354" s="31" t="s">
        <v>82</v>
      </c>
      <c r="E354" s="31"/>
      <c r="F354" s="26" t="n">
        <f aca="false">INT(A354-4/24)</f>
        <v>46262</v>
      </c>
    </row>
    <row r="355" customFormat="false" ht="15" hidden="false" customHeight="false" outlineLevel="0" collapsed="false">
      <c r="A355" s="30" t="n">
        <v>46262.9131944445</v>
      </c>
      <c r="B355" s="31" t="s">
        <v>77</v>
      </c>
      <c r="C355" s="31" t="n">
        <v>4</v>
      </c>
      <c r="D355" s="31"/>
      <c r="E355" s="31"/>
      <c r="F355" s="26" t="n">
        <f aca="false">INT(A355-4/24)</f>
        <v>46262</v>
      </c>
    </row>
    <row r="356" customFormat="false" ht="15" hidden="false" customHeight="false" outlineLevel="0" collapsed="false">
      <c r="A356" s="30" t="n">
        <v>46262.9930555556</v>
      </c>
      <c r="B356" s="31" t="s">
        <v>74</v>
      </c>
      <c r="C356" s="31"/>
      <c r="D356" s="31" t="s">
        <v>82</v>
      </c>
      <c r="E356" s="31"/>
      <c r="F356" s="26" t="n">
        <f aca="false">INT(A356-4/24)</f>
        <v>46262</v>
      </c>
    </row>
    <row r="357" customFormat="false" ht="15" hidden="false" customHeight="false" outlineLevel="0" collapsed="false">
      <c r="A357" s="30" t="n">
        <v>46262.9972222222</v>
      </c>
      <c r="B357" s="31" t="s">
        <v>77</v>
      </c>
      <c r="C357" s="31" t="n">
        <v>4</v>
      </c>
      <c r="D357" s="31"/>
      <c r="E357" s="31"/>
      <c r="F357" s="26" t="n">
        <f aca="false">INT(A357-4/24)</f>
        <v>46262</v>
      </c>
    </row>
    <row r="358" customFormat="false" ht="15" hidden="false" customHeight="false" outlineLevel="0" collapsed="false">
      <c r="A358" s="30" t="n">
        <v>46263.0229166667</v>
      </c>
      <c r="B358" s="31" t="s">
        <v>75</v>
      </c>
      <c r="C358" s="31"/>
      <c r="D358" s="31"/>
      <c r="E358" s="31"/>
      <c r="F358" s="26" t="n">
        <f aca="false">INT(A358-4/24)</f>
        <v>46262</v>
      </c>
    </row>
    <row r="359" customFormat="false" ht="15" hidden="false" customHeight="false" outlineLevel="0" collapsed="false">
      <c r="A359" s="30" t="n">
        <v>46263.0305555556</v>
      </c>
      <c r="B359" s="31" t="s">
        <v>20</v>
      </c>
      <c r="C359" s="31"/>
      <c r="D359" s="31"/>
      <c r="E359" s="31"/>
      <c r="F359" s="26" t="n">
        <f aca="false">INT(A359-4/24)</f>
        <v>46262</v>
      </c>
    </row>
    <row r="360" customFormat="false" ht="15" hidden="false" customHeight="false" outlineLevel="0" collapsed="false">
      <c r="A360" s="30" t="n">
        <v>46263.2798611111</v>
      </c>
      <c r="B360" s="31" t="s">
        <v>79</v>
      </c>
      <c r="C360" s="31"/>
      <c r="D360" s="31"/>
      <c r="E360" s="31"/>
      <c r="F360" s="26" t="n">
        <f aca="false">INT(A360-4/24)</f>
        <v>46263</v>
      </c>
    </row>
    <row r="361" customFormat="false" ht="15" hidden="false" customHeight="false" outlineLevel="0" collapsed="false">
      <c r="A361" s="30" t="n">
        <v>46263.2847222222</v>
      </c>
      <c r="B361" s="31" t="s">
        <v>74</v>
      </c>
      <c r="C361" s="31"/>
      <c r="D361" s="31" t="s">
        <v>82</v>
      </c>
      <c r="E361" s="31"/>
      <c r="F361" s="26" t="n">
        <f aca="false">INT(A361-4/24)</f>
        <v>46263</v>
      </c>
    </row>
    <row r="362" customFormat="false" ht="15" hidden="false" customHeight="false" outlineLevel="0" collapsed="false">
      <c r="A362" s="30" t="n">
        <v>46263.2930555556</v>
      </c>
      <c r="B362" s="31" t="s">
        <v>77</v>
      </c>
      <c r="C362" s="31" t="n">
        <v>4</v>
      </c>
      <c r="D362" s="31"/>
      <c r="E362" s="31"/>
      <c r="F362" s="26" t="n">
        <f aca="false">INT(A362-4/24)</f>
        <v>46263</v>
      </c>
    </row>
    <row r="363" customFormat="false" ht="15" hidden="false" customHeight="false" outlineLevel="0" collapsed="false">
      <c r="A363" s="30" t="n">
        <v>46263.4305555556</v>
      </c>
      <c r="B363" s="31" t="s">
        <v>77</v>
      </c>
      <c r="C363" s="31" t="n">
        <v>4</v>
      </c>
      <c r="D363" s="31"/>
      <c r="E363" s="31"/>
      <c r="F363" s="26" t="n">
        <f aca="false">INT(A363-4/24)</f>
        <v>46263</v>
      </c>
    </row>
    <row r="364" customFormat="false" ht="15" hidden="false" customHeight="false" outlineLevel="0" collapsed="false">
      <c r="A364" s="30" t="n">
        <v>46263.4805555556</v>
      </c>
      <c r="B364" s="31" t="s">
        <v>74</v>
      </c>
      <c r="C364" s="31"/>
      <c r="D364" s="31" t="s">
        <v>82</v>
      </c>
      <c r="E364" s="31"/>
      <c r="F364" s="26" t="n">
        <f aca="false">INT(A364-4/24)</f>
        <v>46263</v>
      </c>
    </row>
    <row r="365" customFormat="false" ht="15" hidden="false" customHeight="false" outlineLevel="0" collapsed="false">
      <c r="A365" s="30" t="n">
        <v>46263.4861111111</v>
      </c>
      <c r="B365" s="31" t="s">
        <v>75</v>
      </c>
      <c r="C365" s="31"/>
      <c r="D365" s="31"/>
      <c r="E365" s="31"/>
      <c r="F365" s="26" t="n">
        <f aca="false">INT(A365-4/24)</f>
        <v>46263</v>
      </c>
    </row>
    <row r="366" customFormat="false" ht="15" hidden="false" customHeight="false" outlineLevel="0" collapsed="false">
      <c r="A366" s="30" t="n">
        <v>46263.5194444444</v>
      </c>
      <c r="B366" s="31" t="s">
        <v>80</v>
      </c>
      <c r="C366" s="31"/>
      <c r="D366" s="31"/>
      <c r="E366" s="31"/>
      <c r="F366" s="26" t="n">
        <f aca="false">INT(A366-4/24)</f>
        <v>46263</v>
      </c>
    </row>
    <row r="367" customFormat="false" ht="15" hidden="false" customHeight="false" outlineLevel="0" collapsed="false">
      <c r="A367" s="30" t="n">
        <v>46263.5451388889</v>
      </c>
      <c r="B367" s="31" t="s">
        <v>81</v>
      </c>
      <c r="C367" s="31"/>
      <c r="D367" s="31"/>
      <c r="E367" s="31"/>
      <c r="F367" s="26" t="n">
        <f aca="false">INT(A367-4/24)</f>
        <v>46263</v>
      </c>
    </row>
    <row r="368" customFormat="false" ht="15" hidden="false" customHeight="false" outlineLevel="0" collapsed="false">
      <c r="A368" s="30" t="n">
        <v>46263.5583333333</v>
      </c>
      <c r="B368" s="31" t="s">
        <v>77</v>
      </c>
      <c r="C368" s="31" t="n">
        <v>4</v>
      </c>
      <c r="D368" s="31"/>
      <c r="E368" s="31"/>
      <c r="F368" s="26" t="n">
        <f aca="false">INT(A368-4/24)</f>
        <v>46263</v>
      </c>
    </row>
    <row r="369" customFormat="false" ht="15" hidden="false" customHeight="false" outlineLevel="0" collapsed="false">
      <c r="A369" s="30" t="n">
        <v>46263.6458333333</v>
      </c>
      <c r="B369" s="31" t="s">
        <v>74</v>
      </c>
      <c r="C369" s="31"/>
      <c r="D369" s="31" t="s">
        <v>84</v>
      </c>
      <c r="E369" s="31"/>
      <c r="F369" s="26" t="n">
        <f aca="false">INT(A369-4/24)</f>
        <v>46263</v>
      </c>
    </row>
    <row r="370" customFormat="false" ht="15" hidden="false" customHeight="false" outlineLevel="0" collapsed="false">
      <c r="A370" s="30" t="n">
        <v>46263.6916666667</v>
      </c>
      <c r="B370" s="31" t="s">
        <v>75</v>
      </c>
      <c r="C370" s="31"/>
      <c r="D370" s="31"/>
      <c r="E370" s="31"/>
      <c r="F370" s="26" t="n">
        <f aca="false">INT(A370-4/24)</f>
        <v>46263</v>
      </c>
    </row>
    <row r="371" customFormat="false" ht="15" hidden="false" customHeight="false" outlineLevel="0" collapsed="false">
      <c r="A371" s="30" t="n">
        <v>46263.6930555556</v>
      </c>
      <c r="B371" s="31" t="s">
        <v>77</v>
      </c>
      <c r="C371" s="31" t="n">
        <v>4</v>
      </c>
      <c r="D371" s="31"/>
      <c r="E371" s="31"/>
      <c r="F371" s="26" t="n">
        <f aca="false">INT(A371-4/24)</f>
        <v>46263</v>
      </c>
    </row>
    <row r="372" customFormat="false" ht="15" hidden="false" customHeight="false" outlineLevel="0" collapsed="false">
      <c r="A372" s="30" t="n">
        <v>46263.8194444445</v>
      </c>
      <c r="B372" s="31" t="s">
        <v>74</v>
      </c>
      <c r="C372" s="31"/>
      <c r="D372" s="31" t="s">
        <v>82</v>
      </c>
      <c r="E372" s="31"/>
      <c r="F372" s="26" t="n">
        <f aca="false">INT(A372-4/24)</f>
        <v>46263</v>
      </c>
    </row>
    <row r="373" customFormat="false" ht="15" hidden="false" customHeight="false" outlineLevel="0" collapsed="false">
      <c r="A373" s="30" t="n">
        <v>46263.8236111111</v>
      </c>
      <c r="B373" s="31" t="s">
        <v>77</v>
      </c>
      <c r="C373" s="31" t="n">
        <v>4</v>
      </c>
      <c r="D373" s="31"/>
      <c r="E373" s="31"/>
      <c r="F373" s="26" t="n">
        <f aca="false">INT(A373-4/24)</f>
        <v>46263</v>
      </c>
    </row>
    <row r="374" customFormat="false" ht="15" hidden="false" customHeight="false" outlineLevel="0" collapsed="false">
      <c r="A374" s="30" t="n">
        <v>46263.9763888889</v>
      </c>
      <c r="B374" s="31" t="s">
        <v>74</v>
      </c>
      <c r="C374" s="31"/>
      <c r="D374" s="31" t="s">
        <v>82</v>
      </c>
      <c r="E374" s="31"/>
      <c r="F374" s="26" t="n">
        <f aca="false">INT(A374-4/24)</f>
        <v>46263</v>
      </c>
    </row>
    <row r="375" customFormat="false" ht="15" hidden="false" customHeight="false" outlineLevel="0" collapsed="false">
      <c r="A375" s="30" t="n">
        <v>46263.9791666667</v>
      </c>
      <c r="B375" s="31" t="s">
        <v>77</v>
      </c>
      <c r="C375" s="31" t="n">
        <v>4</v>
      </c>
      <c r="D375" s="31"/>
      <c r="E375" s="31"/>
      <c r="F375" s="26" t="n">
        <f aca="false">INT(A375-4/24)</f>
        <v>46263</v>
      </c>
    </row>
    <row r="376" customFormat="false" ht="15" hidden="false" customHeight="false" outlineLevel="0" collapsed="false">
      <c r="A376" s="30" t="n">
        <v>46263.9979166667</v>
      </c>
      <c r="B376" s="31" t="s">
        <v>75</v>
      </c>
      <c r="C376" s="31"/>
      <c r="D376" s="31"/>
      <c r="E376" s="31"/>
      <c r="F376" s="26" t="n">
        <f aca="false">INT(A376-4/24)</f>
        <v>46263</v>
      </c>
    </row>
    <row r="377" customFormat="false" ht="15" hidden="false" customHeight="false" outlineLevel="0" collapsed="false">
      <c r="A377" s="30" t="n">
        <v>46264.0416666667</v>
      </c>
      <c r="B377" s="31" t="s">
        <v>20</v>
      </c>
      <c r="C377" s="31"/>
      <c r="D377" s="31"/>
      <c r="E377" s="31"/>
      <c r="F377" s="26" t="n">
        <f aca="false">INT(A377-4/24)</f>
        <v>46263</v>
      </c>
    </row>
    <row r="378" customFormat="false" ht="15" hidden="false" customHeight="false" outlineLevel="0" collapsed="false">
      <c r="A378" s="30" t="n">
        <v>46264.3125</v>
      </c>
      <c r="B378" s="31" t="s">
        <v>79</v>
      </c>
      <c r="C378" s="31"/>
      <c r="D378" s="31"/>
      <c r="E378" s="31"/>
      <c r="F378" s="26" t="n">
        <f aca="false">INT(A378-4/24)</f>
        <v>46264</v>
      </c>
    </row>
    <row r="379" customFormat="false" ht="15" hidden="false" customHeight="false" outlineLevel="0" collapsed="false">
      <c r="A379" s="30" t="n">
        <v>46264.3333333333</v>
      </c>
      <c r="B379" s="31" t="s">
        <v>74</v>
      </c>
      <c r="C379" s="31"/>
      <c r="D379" s="31" t="s">
        <v>82</v>
      </c>
      <c r="E379" s="31"/>
      <c r="F379" s="26" t="n">
        <f aca="false">INT(A379-4/24)</f>
        <v>46264</v>
      </c>
    </row>
    <row r="380" customFormat="false" ht="15" hidden="false" customHeight="false" outlineLevel="0" collapsed="false">
      <c r="A380" s="30" t="n">
        <v>46264.34375</v>
      </c>
      <c r="B380" s="31" t="s">
        <v>77</v>
      </c>
      <c r="C380" s="31" t="n">
        <v>4</v>
      </c>
      <c r="D380" s="31"/>
      <c r="E380" s="31"/>
      <c r="F380" s="26" t="n">
        <f aca="false">INT(A380-4/24)</f>
        <v>46264</v>
      </c>
    </row>
    <row r="381" customFormat="false" ht="15" hidden="false" customHeight="false" outlineLevel="0" collapsed="false">
      <c r="A381" s="30" t="n">
        <v>46264.34375</v>
      </c>
      <c r="B381" s="31" t="s">
        <v>75</v>
      </c>
      <c r="C381" s="31"/>
      <c r="D381" s="31"/>
      <c r="E381" s="31"/>
      <c r="F381" s="26" t="n">
        <f aca="false">INT(A381-4/24)</f>
        <v>46264</v>
      </c>
    </row>
    <row r="382" customFormat="false" ht="15" hidden="false" customHeight="false" outlineLevel="0" collapsed="false">
      <c r="A382" s="30" t="n">
        <v>46264.3923611111</v>
      </c>
      <c r="B382" s="31" t="s">
        <v>80</v>
      </c>
      <c r="C382" s="31"/>
      <c r="D382" s="31"/>
      <c r="E382" s="31"/>
      <c r="F382" s="26" t="n">
        <f aca="false">INT(A382-4/24)</f>
        <v>46264</v>
      </c>
    </row>
    <row r="383" customFormat="false" ht="15" hidden="false" customHeight="false" outlineLevel="0" collapsed="false">
      <c r="A383" s="30" t="n">
        <v>46264.4965277778</v>
      </c>
      <c r="B383" s="31" t="s">
        <v>81</v>
      </c>
      <c r="C383" s="31"/>
      <c r="D383" s="31"/>
      <c r="E383" s="31"/>
      <c r="F383" s="26" t="n">
        <f aca="false">INT(A383-4/24)</f>
        <v>46264</v>
      </c>
    </row>
    <row r="384" customFormat="false" ht="15" hidden="false" customHeight="false" outlineLevel="0" collapsed="false">
      <c r="A384" s="30" t="n">
        <v>46264.5006944445</v>
      </c>
      <c r="B384" s="31" t="s">
        <v>77</v>
      </c>
      <c r="C384" s="31" t="n">
        <v>4</v>
      </c>
      <c r="D384" s="31"/>
      <c r="E384" s="31"/>
      <c r="F384" s="26" t="n">
        <f aca="false">INT(A384-4/24)</f>
        <v>46264</v>
      </c>
    </row>
    <row r="385" customFormat="false" ht="15" hidden="false" customHeight="false" outlineLevel="0" collapsed="false">
      <c r="A385" s="30" t="n">
        <v>46264.5590277778</v>
      </c>
      <c r="B385" s="31" t="s">
        <v>74</v>
      </c>
      <c r="C385" s="31"/>
      <c r="D385" s="31" t="s">
        <v>82</v>
      </c>
      <c r="E385" s="31"/>
      <c r="F385" s="26" t="n">
        <f aca="false">INT(A385-4/24)</f>
        <v>46264</v>
      </c>
    </row>
    <row r="386" customFormat="false" ht="15" hidden="false" customHeight="false" outlineLevel="0" collapsed="false">
      <c r="A386" s="30" t="n">
        <v>46264.6291666667</v>
      </c>
      <c r="B386" s="31" t="s">
        <v>80</v>
      </c>
      <c r="C386" s="31"/>
      <c r="D386" s="31"/>
      <c r="E386" s="31"/>
      <c r="F386" s="26" t="n">
        <f aca="false">INT(A386-4/24)</f>
        <v>46264</v>
      </c>
    </row>
    <row r="387" customFormat="false" ht="15" hidden="false" customHeight="false" outlineLevel="0" collapsed="false">
      <c r="A387" s="30" t="n">
        <v>46264.6388888889</v>
      </c>
      <c r="B387" s="31" t="s">
        <v>81</v>
      </c>
      <c r="C387" s="31"/>
      <c r="D387" s="31"/>
      <c r="E387" s="31"/>
      <c r="F387" s="26" t="n">
        <f aca="false">INT(A387-4/24)</f>
        <v>46264</v>
      </c>
    </row>
    <row r="388" customFormat="false" ht="15" hidden="false" customHeight="false" outlineLevel="0" collapsed="false">
      <c r="A388" s="30" t="n">
        <v>46264.6423611111</v>
      </c>
      <c r="B388" s="31" t="s">
        <v>77</v>
      </c>
      <c r="C388" s="31" t="n">
        <v>4</v>
      </c>
      <c r="D388" s="31"/>
      <c r="E388" s="31"/>
      <c r="F388" s="26" t="n">
        <f aca="false">INT(A388-4/24)</f>
        <v>46264</v>
      </c>
    </row>
    <row r="389" customFormat="false" ht="15" hidden="false" customHeight="false" outlineLevel="0" collapsed="false">
      <c r="A389" s="30" t="n">
        <v>46264.6875</v>
      </c>
      <c r="B389" s="31" t="s">
        <v>74</v>
      </c>
      <c r="C389" s="31"/>
      <c r="D389" s="31" t="s">
        <v>84</v>
      </c>
      <c r="E389" s="31"/>
      <c r="F389" s="26" t="n">
        <f aca="false">INT(A389-4/24)</f>
        <v>46264</v>
      </c>
    </row>
    <row r="390" customFormat="false" ht="15" hidden="false" customHeight="false" outlineLevel="0" collapsed="false">
      <c r="A390" s="30" t="n">
        <v>46264.7180555556</v>
      </c>
      <c r="B390" s="31" t="s">
        <v>80</v>
      </c>
      <c r="C390" s="31"/>
      <c r="D390" s="31"/>
      <c r="E390" s="31"/>
      <c r="F390" s="26" t="n">
        <f aca="false">INT(A390-4/24)</f>
        <v>46264</v>
      </c>
    </row>
    <row r="391" customFormat="false" ht="15" hidden="false" customHeight="false" outlineLevel="0" collapsed="false">
      <c r="A391" s="30" t="n">
        <v>46264.8229166667</v>
      </c>
      <c r="B391" s="31" t="s">
        <v>81</v>
      </c>
      <c r="C391" s="31"/>
      <c r="D391" s="31"/>
      <c r="E391" s="31"/>
      <c r="F391" s="26" t="n">
        <f aca="false">INT(A391-4/24)</f>
        <v>46264</v>
      </c>
    </row>
    <row r="392" customFormat="false" ht="15" hidden="false" customHeight="false" outlineLevel="0" collapsed="false">
      <c r="A392" s="30" t="n">
        <v>46264.8416666667</v>
      </c>
      <c r="B392" s="31" t="s">
        <v>77</v>
      </c>
      <c r="C392" s="31" t="n">
        <v>4</v>
      </c>
      <c r="D392" s="31"/>
      <c r="E392" s="31"/>
      <c r="F392" s="26" t="n">
        <f aca="false">INT(A392-4/24)</f>
        <v>46264</v>
      </c>
    </row>
    <row r="393" customFormat="false" ht="15" hidden="false" customHeight="false" outlineLevel="0" collapsed="false">
      <c r="A393" s="30" t="n">
        <v>46264.9402777778</v>
      </c>
      <c r="B393" s="31" t="s">
        <v>74</v>
      </c>
      <c r="C393" s="31"/>
      <c r="D393" s="31" t="s">
        <v>82</v>
      </c>
      <c r="E393" s="31"/>
      <c r="F393" s="26" t="n">
        <f aca="false">INT(A393-4/24)</f>
        <v>46264</v>
      </c>
    </row>
    <row r="394" customFormat="false" ht="15" hidden="false" customHeight="false" outlineLevel="0" collapsed="false">
      <c r="A394" s="30" t="n">
        <v>46264.9708333333</v>
      </c>
      <c r="B394" s="31" t="s">
        <v>77</v>
      </c>
      <c r="C394" s="31" t="n">
        <v>4</v>
      </c>
      <c r="D394" s="31"/>
      <c r="E394" s="31"/>
      <c r="F394" s="26" t="n">
        <f aca="false">INT(A394-4/24)</f>
        <v>46264</v>
      </c>
    </row>
    <row r="395" customFormat="false" ht="15" hidden="false" customHeight="false" outlineLevel="0" collapsed="false">
      <c r="A395" s="30" t="n">
        <v>46265.0104166667</v>
      </c>
      <c r="B395" s="31" t="s">
        <v>75</v>
      </c>
      <c r="C395" s="31"/>
      <c r="D395" s="31"/>
      <c r="E395" s="31"/>
      <c r="F395" s="26" t="n">
        <f aca="false">INT(A395-4/24)</f>
        <v>46264</v>
      </c>
    </row>
    <row r="396" customFormat="false" ht="15" hidden="false" customHeight="false" outlineLevel="0" collapsed="false">
      <c r="A396" s="30" t="n">
        <v>46265.0118055556</v>
      </c>
      <c r="B396" s="31" t="s">
        <v>75</v>
      </c>
      <c r="C396" s="31"/>
      <c r="D396" s="31"/>
      <c r="E396" s="31"/>
      <c r="F396" s="26" t="n">
        <f aca="false">INT(A396-4/24)</f>
        <v>46264</v>
      </c>
    </row>
    <row r="397" customFormat="false" ht="15" hidden="false" customHeight="false" outlineLevel="0" collapsed="false">
      <c r="A397" s="30" t="n">
        <v>46265.01875</v>
      </c>
      <c r="B397" s="31" t="s">
        <v>20</v>
      </c>
      <c r="C397" s="31"/>
      <c r="D397" s="31"/>
      <c r="E397" s="31"/>
      <c r="F397" s="26" t="n">
        <f aca="false">INT(A397-4/24)</f>
        <v>46264</v>
      </c>
    </row>
    <row r="398" customFormat="false" ht="15" hidden="false" customHeight="false" outlineLevel="0" collapsed="false">
      <c r="A398" s="30" t="n">
        <v>46265.0208333333</v>
      </c>
      <c r="B398" s="31" t="s">
        <v>20</v>
      </c>
      <c r="C398" s="31"/>
      <c r="D398" s="31"/>
      <c r="E398" s="31"/>
      <c r="F398" s="26" t="n">
        <f aca="false">INT(A398-4/24)</f>
        <v>46264</v>
      </c>
    </row>
    <row r="399" customFormat="false" ht="15" hidden="false" customHeight="false" outlineLevel="0" collapsed="false">
      <c r="A399" s="30" t="n">
        <v>46265.2986111111</v>
      </c>
      <c r="B399" s="31" t="s">
        <v>79</v>
      </c>
      <c r="C399" s="31"/>
      <c r="D399" s="31"/>
      <c r="E399" s="31"/>
      <c r="F399" s="26" t="n">
        <f aca="false">INT(A399-4/24)</f>
        <v>46265</v>
      </c>
    </row>
    <row r="400" customFormat="false" ht="15" hidden="false" customHeight="false" outlineLevel="0" collapsed="false">
      <c r="A400" s="30" t="n">
        <v>46265.3381944444</v>
      </c>
      <c r="B400" s="31" t="s">
        <v>75</v>
      </c>
      <c r="C400" s="31"/>
      <c r="D400" s="31"/>
      <c r="E400" s="31"/>
      <c r="F400" s="26" t="n">
        <f aca="false">INT(A400-4/24)</f>
        <v>46265</v>
      </c>
    </row>
    <row r="401" customFormat="false" ht="15" hidden="false" customHeight="false" outlineLevel="0" collapsed="false">
      <c r="A401" s="30" t="n">
        <v>46265.3381944444</v>
      </c>
      <c r="B401" s="31" t="s">
        <v>74</v>
      </c>
      <c r="C401" s="31"/>
      <c r="D401" s="31" t="s">
        <v>82</v>
      </c>
      <c r="E401" s="31"/>
      <c r="F401" s="26" t="n">
        <f aca="false">INT(A401-4/24)</f>
        <v>46265</v>
      </c>
    </row>
    <row r="402" customFormat="false" ht="15" hidden="false" customHeight="false" outlineLevel="0" collapsed="false">
      <c r="A402" s="30" t="n">
        <v>46265.3402777778</v>
      </c>
      <c r="B402" s="31" t="s">
        <v>77</v>
      </c>
      <c r="C402" s="31" t="n">
        <v>4</v>
      </c>
      <c r="D402" s="31"/>
      <c r="E402" s="31"/>
      <c r="F402" s="26" t="n">
        <f aca="false">INT(A402-4/24)</f>
        <v>46265</v>
      </c>
    </row>
    <row r="403" customFormat="false" ht="15" hidden="false" customHeight="false" outlineLevel="0" collapsed="false">
      <c r="A403" s="30" t="n">
        <v>46265.4118055556</v>
      </c>
      <c r="B403" s="31" t="s">
        <v>80</v>
      </c>
      <c r="C403" s="31"/>
      <c r="D403" s="31"/>
      <c r="E403" s="31"/>
      <c r="F403" s="26" t="n">
        <f aca="false">INT(A403-4/24)</f>
        <v>46265</v>
      </c>
    </row>
    <row r="404" customFormat="false" ht="15" hidden="false" customHeight="false" outlineLevel="0" collapsed="false">
      <c r="A404" s="30" t="n">
        <v>46265.425</v>
      </c>
      <c r="B404" s="31" t="s">
        <v>81</v>
      </c>
      <c r="C404" s="31"/>
      <c r="D404" s="31"/>
      <c r="E404" s="31"/>
      <c r="F404" s="26" t="n">
        <f aca="false">INT(A404-4/24)</f>
        <v>46265</v>
      </c>
    </row>
    <row r="405" customFormat="false" ht="15" hidden="false" customHeight="false" outlineLevel="0" collapsed="false">
      <c r="A405" s="30" t="n">
        <v>46265.4597222222</v>
      </c>
      <c r="B405" s="31" t="s">
        <v>77</v>
      </c>
      <c r="C405" s="31" t="n">
        <v>4</v>
      </c>
      <c r="D405" s="31"/>
      <c r="E405" s="31"/>
      <c r="F405" s="26" t="n">
        <f aca="false">INT(A405-4/24)</f>
        <v>46265</v>
      </c>
    </row>
    <row r="406" customFormat="false" ht="15" hidden="false" customHeight="false" outlineLevel="0" collapsed="false">
      <c r="A406" s="30" t="n">
        <v>46265.4902777778</v>
      </c>
      <c r="B406" s="31" t="s">
        <v>80</v>
      </c>
      <c r="C406" s="31"/>
      <c r="D406" s="31"/>
      <c r="E406" s="31"/>
      <c r="F406" s="26" t="n">
        <f aca="false">INT(A406-4/24)</f>
        <v>46265</v>
      </c>
    </row>
    <row r="407" customFormat="false" ht="15" hidden="false" customHeight="false" outlineLevel="0" collapsed="false">
      <c r="A407" s="30" t="n">
        <v>46265.5118055556</v>
      </c>
      <c r="B407" s="31" t="s">
        <v>81</v>
      </c>
      <c r="C407" s="31"/>
      <c r="D407" s="31"/>
      <c r="E407" s="31"/>
      <c r="F407" s="26" t="n">
        <f aca="false">INT(A407-4/24)</f>
        <v>46265</v>
      </c>
    </row>
    <row r="408" customFormat="false" ht="15" hidden="false" customHeight="false" outlineLevel="0" collapsed="false">
      <c r="A408" s="30" t="n">
        <v>46265.5333333333</v>
      </c>
      <c r="B408" s="31" t="s">
        <v>74</v>
      </c>
      <c r="C408" s="31"/>
      <c r="D408" s="31" t="s">
        <v>82</v>
      </c>
      <c r="E408" s="31"/>
      <c r="F408" s="26" t="n">
        <f aca="false">INT(A408-4/24)</f>
        <v>46265</v>
      </c>
    </row>
    <row r="409" customFormat="false" ht="15" hidden="false" customHeight="false" outlineLevel="0" collapsed="false">
      <c r="A409" s="30" t="n">
        <v>46265.5930555556</v>
      </c>
      <c r="B409" s="31" t="s">
        <v>77</v>
      </c>
      <c r="C409" s="31" t="n">
        <v>4</v>
      </c>
      <c r="D409" s="31"/>
      <c r="E409" s="31"/>
      <c r="F409" s="26" t="n">
        <f aca="false">INT(A409-4/24)</f>
        <v>46265</v>
      </c>
    </row>
    <row r="410" customFormat="false" ht="15" hidden="false" customHeight="false" outlineLevel="0" collapsed="false">
      <c r="A410" s="30" t="n">
        <v>46265.6076388889</v>
      </c>
      <c r="B410" s="31" t="s">
        <v>80</v>
      </c>
      <c r="C410" s="31"/>
      <c r="D410" s="31"/>
      <c r="E410" s="31"/>
      <c r="F410" s="26" t="n">
        <f aca="false">INT(A410-4/24)</f>
        <v>46265</v>
      </c>
    </row>
    <row r="411" customFormat="false" ht="15" hidden="false" customHeight="false" outlineLevel="0" collapsed="false">
      <c r="A411" s="30" t="n">
        <v>46265.6645833333</v>
      </c>
      <c r="B411" s="31" t="s">
        <v>81</v>
      </c>
      <c r="C411" s="31"/>
      <c r="D411" s="31"/>
      <c r="E411" s="31"/>
      <c r="F411" s="26" t="n">
        <f aca="false">INT(A411-4/24)</f>
        <v>46265</v>
      </c>
    </row>
    <row r="412" customFormat="false" ht="15" hidden="false" customHeight="false" outlineLevel="0" collapsed="false">
      <c r="A412" s="30" t="n">
        <v>46265.6777777778</v>
      </c>
      <c r="B412" s="31" t="s">
        <v>75</v>
      </c>
      <c r="C412" s="31"/>
      <c r="D412" s="31"/>
      <c r="E412" s="31"/>
      <c r="F412" s="26" t="n">
        <f aca="false">INT(A412-4/24)</f>
        <v>46265</v>
      </c>
    </row>
    <row r="413" customFormat="false" ht="15" hidden="false" customHeight="false" outlineLevel="0" collapsed="false">
      <c r="A413" s="30" t="n">
        <v>46265.6930555556</v>
      </c>
      <c r="B413" s="31" t="s">
        <v>74</v>
      </c>
      <c r="C413" s="31"/>
      <c r="D413" s="31" t="s">
        <v>82</v>
      </c>
      <c r="E413" s="31"/>
      <c r="F413" s="26" t="n">
        <f aca="false">INT(A413-4/24)</f>
        <v>46265</v>
      </c>
    </row>
    <row r="414" customFormat="false" ht="15" hidden="false" customHeight="false" outlineLevel="0" collapsed="false">
      <c r="A414" s="30" t="n">
        <v>46265.7048611111</v>
      </c>
      <c r="B414" s="31" t="s">
        <v>74</v>
      </c>
      <c r="C414" s="31"/>
      <c r="D414" s="31" t="s">
        <v>84</v>
      </c>
      <c r="E414" s="31"/>
      <c r="F414" s="26" t="n">
        <f aca="false">INT(A414-4/24)</f>
        <v>46265</v>
      </c>
    </row>
    <row r="415" customFormat="false" ht="15" hidden="false" customHeight="false" outlineLevel="0" collapsed="false">
      <c r="A415" s="30" t="n">
        <v>46265.7222222222</v>
      </c>
      <c r="B415" s="31" t="s">
        <v>77</v>
      </c>
      <c r="C415" s="31" t="n">
        <v>4</v>
      </c>
      <c r="D415" s="31"/>
      <c r="E415" s="31"/>
      <c r="F415" s="26" t="n">
        <f aca="false">INT(A415-4/24)</f>
        <v>46265</v>
      </c>
    </row>
    <row r="416" customFormat="false" ht="15" hidden="false" customHeight="false" outlineLevel="0" collapsed="false">
      <c r="A416" s="30" t="n">
        <v>46265.7847222222</v>
      </c>
      <c r="B416" s="31" t="s">
        <v>74</v>
      </c>
      <c r="C416" s="31"/>
      <c r="D416" s="31" t="s">
        <v>82</v>
      </c>
      <c r="E416" s="31"/>
      <c r="F416" s="26" t="n">
        <f aca="false">INT(A416-4/24)</f>
        <v>46265</v>
      </c>
    </row>
    <row r="417" customFormat="false" ht="15" hidden="false" customHeight="false" outlineLevel="0" collapsed="false">
      <c r="A417" s="30" t="n">
        <v>46265.84375</v>
      </c>
      <c r="B417" s="31" t="s">
        <v>77</v>
      </c>
      <c r="C417" s="31" t="n">
        <v>4</v>
      </c>
      <c r="D417" s="31"/>
      <c r="E417" s="31"/>
      <c r="F417" s="26" t="n">
        <f aca="false">INT(A417-4/24)</f>
        <v>46265</v>
      </c>
    </row>
    <row r="418" customFormat="false" ht="15" hidden="false" customHeight="false" outlineLevel="0" collapsed="false">
      <c r="A418" s="30" t="n">
        <v>46265.875</v>
      </c>
      <c r="B418" s="31" t="s">
        <v>80</v>
      </c>
      <c r="C418" s="31"/>
      <c r="D418" s="31"/>
      <c r="E418" s="31"/>
      <c r="F418" s="26" t="n">
        <f aca="false">INT(A418-4/24)</f>
        <v>46265</v>
      </c>
    </row>
    <row r="419" customFormat="false" ht="15" hidden="false" customHeight="false" outlineLevel="0" collapsed="false">
      <c r="A419" s="30" t="n">
        <v>46265.9583333333</v>
      </c>
      <c r="B419" s="31" t="s">
        <v>81</v>
      </c>
      <c r="C419" s="31"/>
      <c r="D419" s="31"/>
      <c r="E419" s="31"/>
      <c r="F419" s="26" t="n">
        <f aca="false">INT(A419-4/24)</f>
        <v>46265</v>
      </c>
    </row>
    <row r="420" customFormat="false" ht="15" hidden="false" customHeight="false" outlineLevel="0" collapsed="false">
      <c r="A420" s="30" t="n">
        <v>46265.9652777778</v>
      </c>
      <c r="B420" s="31" t="s">
        <v>74</v>
      </c>
      <c r="C420" s="31"/>
      <c r="D420" s="31" t="s">
        <v>82</v>
      </c>
      <c r="E420" s="31"/>
      <c r="F420" s="26" t="n">
        <f aca="false">INT(A420-4/24)</f>
        <v>46265</v>
      </c>
    </row>
    <row r="421" customFormat="false" ht="15" hidden="false" customHeight="false" outlineLevel="0" collapsed="false">
      <c r="A421" s="30" t="n">
        <v>46265.9722222222</v>
      </c>
      <c r="B421" s="31" t="s">
        <v>77</v>
      </c>
      <c r="C421" s="31" t="n">
        <v>4</v>
      </c>
      <c r="D421" s="31"/>
      <c r="E421" s="31"/>
      <c r="F421" s="26" t="n">
        <f aca="false">INT(A421-4/24)</f>
        <v>46265</v>
      </c>
    </row>
    <row r="422" customFormat="false" ht="15" hidden="false" customHeight="false" outlineLevel="0" collapsed="false">
      <c r="A422" s="30" t="n">
        <v>46266.0041666667</v>
      </c>
      <c r="B422" s="31" t="s">
        <v>75</v>
      </c>
      <c r="C422" s="31"/>
      <c r="D422" s="31"/>
      <c r="E422" s="31"/>
      <c r="F422" s="26" t="n">
        <f aca="false">INT(A422-4/24)</f>
        <v>46265</v>
      </c>
    </row>
    <row r="423" customFormat="false" ht="15" hidden="false" customHeight="false" outlineLevel="0" collapsed="false">
      <c r="A423" s="30" t="n">
        <v>46266.0277777778</v>
      </c>
      <c r="B423" s="31" t="s">
        <v>20</v>
      </c>
      <c r="C423" s="31"/>
      <c r="D423" s="31"/>
      <c r="E423" s="31"/>
      <c r="F423" s="26" t="n">
        <f aca="false">INT(A423-4/24)</f>
        <v>46265</v>
      </c>
    </row>
    <row r="424" customFormat="false" ht="15" hidden="false" customHeight="false" outlineLevel="0" collapsed="false">
      <c r="A424" s="30" t="n">
        <v>46266.3736111111</v>
      </c>
      <c r="B424" s="31" t="s">
        <v>79</v>
      </c>
      <c r="C424" s="31"/>
      <c r="D424" s="31"/>
      <c r="E424" s="31"/>
      <c r="F424" s="26" t="n">
        <f aca="false">INT(A424-4/24)</f>
        <v>46266</v>
      </c>
    </row>
    <row r="425" customFormat="false" ht="15" hidden="false" customHeight="false" outlineLevel="0" collapsed="false">
      <c r="A425" s="30" t="n">
        <v>46266.3770833333</v>
      </c>
      <c r="B425" s="31" t="s">
        <v>74</v>
      </c>
      <c r="C425" s="31"/>
      <c r="D425" s="31" t="s">
        <v>82</v>
      </c>
      <c r="E425" s="31"/>
      <c r="F425" s="26" t="n">
        <f aca="false">INT(A425-4/24)</f>
        <v>46266</v>
      </c>
    </row>
    <row r="426" customFormat="false" ht="15" hidden="false" customHeight="false" outlineLevel="0" collapsed="false">
      <c r="A426" s="30" t="n">
        <v>46266.3833333333</v>
      </c>
      <c r="B426" s="31" t="s">
        <v>75</v>
      </c>
      <c r="C426" s="31"/>
      <c r="D426" s="31"/>
      <c r="E426" s="31"/>
      <c r="F426" s="26" t="n">
        <f aca="false">INT(A426-4/24)</f>
        <v>46266</v>
      </c>
    </row>
    <row r="427" customFormat="false" ht="15" hidden="false" customHeight="false" outlineLevel="0" collapsed="false">
      <c r="A427" s="30" t="n">
        <v>46266.3833333333</v>
      </c>
      <c r="B427" s="31" t="s">
        <v>77</v>
      </c>
      <c r="C427" s="31" t="n">
        <v>4</v>
      </c>
      <c r="D427" s="31"/>
      <c r="E427" s="31"/>
      <c r="F427" s="26" t="n">
        <f aca="false">INT(A427-4/24)</f>
        <v>46266</v>
      </c>
    </row>
    <row r="428" customFormat="false" ht="15" hidden="false" customHeight="false" outlineLevel="0" collapsed="false">
      <c r="A428" s="30" t="n">
        <v>46266.4736111111</v>
      </c>
      <c r="B428" s="31" t="s">
        <v>80</v>
      </c>
      <c r="C428" s="31"/>
      <c r="D428" s="31"/>
      <c r="E428" s="31"/>
      <c r="F428" s="26" t="n">
        <f aca="false">INT(A428-4/24)</f>
        <v>46266</v>
      </c>
    </row>
    <row r="429" customFormat="false" ht="15" hidden="false" customHeight="false" outlineLevel="0" collapsed="false">
      <c r="A429" s="30" t="n">
        <v>46266.5020833333</v>
      </c>
      <c r="B429" s="31" t="s">
        <v>81</v>
      </c>
      <c r="C429" s="31"/>
      <c r="D429" s="31"/>
      <c r="E429" s="31"/>
      <c r="F429" s="26" t="n">
        <f aca="false">INT(A429-4/24)</f>
        <v>46266</v>
      </c>
    </row>
    <row r="430" customFormat="false" ht="15" hidden="false" customHeight="false" outlineLevel="0" collapsed="false">
      <c r="A430" s="30" t="n">
        <v>46266.5208333333</v>
      </c>
      <c r="B430" s="31" t="s">
        <v>74</v>
      </c>
      <c r="C430" s="31"/>
      <c r="D430" s="31" t="s">
        <v>82</v>
      </c>
      <c r="E430" s="31"/>
      <c r="F430" s="26" t="n">
        <f aca="false">INT(A430-4/24)</f>
        <v>46266</v>
      </c>
    </row>
    <row r="431" customFormat="false" ht="15" hidden="false" customHeight="false" outlineLevel="0" collapsed="false">
      <c r="A431" s="30" t="n">
        <v>46266.5243055556</v>
      </c>
      <c r="B431" s="31" t="s">
        <v>77</v>
      </c>
      <c r="C431" s="31" t="n">
        <v>4</v>
      </c>
      <c r="D431" s="31"/>
      <c r="E431" s="31"/>
      <c r="F431" s="26" t="n">
        <f aca="false">INT(A431-4/24)</f>
        <v>46266</v>
      </c>
    </row>
    <row r="432" customFormat="false" ht="15" hidden="false" customHeight="false" outlineLevel="0" collapsed="false">
      <c r="A432" s="30" t="n">
        <v>46266.6256944445</v>
      </c>
      <c r="B432" s="31" t="s">
        <v>80</v>
      </c>
      <c r="C432" s="31"/>
      <c r="D432" s="31"/>
      <c r="E432" s="31"/>
      <c r="F432" s="26" t="n">
        <f aca="false">INT(A432-4/24)</f>
        <v>46266</v>
      </c>
    </row>
    <row r="433" customFormat="false" ht="15" hidden="false" customHeight="false" outlineLevel="0" collapsed="false">
      <c r="A433" s="30" t="n">
        <v>46266.64375</v>
      </c>
      <c r="B433" s="31" t="s">
        <v>81</v>
      </c>
      <c r="C433" s="31"/>
      <c r="D433" s="31"/>
      <c r="E433" s="31"/>
      <c r="F433" s="26" t="n">
        <f aca="false">INT(A433-4/24)</f>
        <v>46266</v>
      </c>
    </row>
    <row r="434" customFormat="false" ht="15" hidden="false" customHeight="false" outlineLevel="0" collapsed="false">
      <c r="A434" s="30" t="n">
        <v>46266.6541666667</v>
      </c>
      <c r="B434" s="31" t="s">
        <v>77</v>
      </c>
      <c r="C434" s="31" t="n">
        <v>4</v>
      </c>
      <c r="D434" s="31"/>
      <c r="E434" s="31"/>
      <c r="F434" s="26" t="n">
        <f aca="false">INT(A434-4/24)</f>
        <v>46266</v>
      </c>
    </row>
    <row r="435" customFormat="false" ht="15" hidden="false" customHeight="false" outlineLevel="0" collapsed="false">
      <c r="A435" s="30" t="n">
        <v>46266.7291666667</v>
      </c>
      <c r="B435" s="31" t="s">
        <v>75</v>
      </c>
      <c r="C435" s="31"/>
      <c r="D435" s="31"/>
      <c r="E435" s="31"/>
      <c r="F435" s="26" t="n">
        <f aca="false">INT(A435-4/24)</f>
        <v>46266</v>
      </c>
    </row>
    <row r="436" customFormat="false" ht="15" hidden="false" customHeight="false" outlineLevel="0" collapsed="false">
      <c r="A436" s="30" t="n">
        <v>46266.7430555556</v>
      </c>
      <c r="B436" s="31" t="s">
        <v>80</v>
      </c>
      <c r="C436" s="31"/>
      <c r="D436" s="31"/>
      <c r="E436" s="31"/>
      <c r="F436" s="26" t="n">
        <f aca="false">INT(A436-4/24)</f>
        <v>46266</v>
      </c>
    </row>
    <row r="437" customFormat="false" ht="15" hidden="false" customHeight="false" outlineLevel="0" collapsed="false">
      <c r="A437" s="30" t="n">
        <v>46266.7715277778</v>
      </c>
      <c r="B437" s="31" t="s">
        <v>81</v>
      </c>
      <c r="C437" s="31"/>
      <c r="D437" s="31"/>
      <c r="E437" s="31"/>
      <c r="F437" s="26" t="n">
        <f aca="false">INT(A437-4/24)</f>
        <v>46266</v>
      </c>
    </row>
    <row r="438" customFormat="false" ht="15" hidden="false" customHeight="false" outlineLevel="0" collapsed="false">
      <c r="A438" s="30" t="n">
        <v>46266.7743055556</v>
      </c>
      <c r="B438" s="31" t="s">
        <v>74</v>
      </c>
      <c r="C438" s="31"/>
      <c r="D438" s="31" t="s">
        <v>82</v>
      </c>
      <c r="E438" s="31"/>
      <c r="F438" s="26" t="n">
        <f aca="false">INT(A438-4/24)</f>
        <v>46266</v>
      </c>
    </row>
    <row r="439" customFormat="false" ht="15" hidden="false" customHeight="false" outlineLevel="0" collapsed="false">
      <c r="A439" s="30" t="n">
        <v>46266.7944444444</v>
      </c>
      <c r="B439" s="31" t="s">
        <v>77</v>
      </c>
      <c r="C439" s="31" t="n">
        <v>4</v>
      </c>
      <c r="D439" s="31"/>
      <c r="E439" s="31"/>
      <c r="F439" s="26" t="n">
        <f aca="false">INT(A439-4/24)</f>
        <v>46266</v>
      </c>
    </row>
    <row r="440" customFormat="false" ht="15" hidden="false" customHeight="false" outlineLevel="0" collapsed="false">
      <c r="A440" s="30" t="n">
        <v>46266.8909722222</v>
      </c>
      <c r="B440" s="31" t="s">
        <v>74</v>
      </c>
      <c r="C440" s="31"/>
      <c r="D440" s="31" t="s">
        <v>83</v>
      </c>
      <c r="E440" s="31"/>
      <c r="F440" s="26" t="n">
        <f aca="false">INT(A440-4/24)</f>
        <v>46266</v>
      </c>
    </row>
    <row r="441" customFormat="false" ht="15" hidden="false" customHeight="false" outlineLevel="0" collapsed="false">
      <c r="A441" s="30" t="n">
        <v>46266.9597222222</v>
      </c>
      <c r="B441" s="31" t="s">
        <v>74</v>
      </c>
      <c r="C441" s="31"/>
      <c r="D441" s="31" t="s">
        <v>82</v>
      </c>
      <c r="E441" s="31"/>
      <c r="F441" s="26" t="n">
        <f aca="false">INT(A441-4/24)</f>
        <v>46266</v>
      </c>
    </row>
    <row r="442" customFormat="false" ht="15" hidden="false" customHeight="false" outlineLevel="0" collapsed="false">
      <c r="A442" s="30" t="n">
        <v>46266.9611111111</v>
      </c>
      <c r="B442" s="31" t="s">
        <v>77</v>
      </c>
      <c r="C442" s="31" t="n">
        <v>4</v>
      </c>
      <c r="D442" s="31"/>
      <c r="E442" s="31"/>
      <c r="F442" s="26" t="n">
        <f aca="false">INT(A442-4/24)</f>
        <v>46266</v>
      </c>
    </row>
    <row r="443" customFormat="false" ht="15" hidden="false" customHeight="false" outlineLevel="0" collapsed="false">
      <c r="A443" s="30" t="n">
        <v>46266.9902777778</v>
      </c>
      <c r="B443" s="31" t="s">
        <v>75</v>
      </c>
      <c r="C443" s="31"/>
      <c r="D443" s="31"/>
      <c r="E443" s="31"/>
      <c r="F443" s="26" t="n">
        <f aca="false">INT(A443-4/24)</f>
        <v>46266</v>
      </c>
    </row>
    <row r="444" customFormat="false" ht="15" hidden="false" customHeight="false" outlineLevel="0" collapsed="false">
      <c r="A444" s="30" t="n">
        <v>46267.0208333333</v>
      </c>
      <c r="B444" s="31" t="s">
        <v>20</v>
      </c>
      <c r="C444" s="31"/>
      <c r="D444" s="31"/>
      <c r="E444" s="31"/>
      <c r="F444" s="26" t="n">
        <f aca="false">INT(A444-4/24)</f>
        <v>46266</v>
      </c>
    </row>
    <row r="445" customFormat="false" ht="15" hidden="false" customHeight="false" outlineLevel="0" collapsed="false">
      <c r="A445" s="30" t="n">
        <v>46267.3541666667</v>
      </c>
      <c r="B445" s="31" t="s">
        <v>79</v>
      </c>
      <c r="C445" s="31"/>
      <c r="D445" s="31"/>
      <c r="E445" s="31"/>
      <c r="F445" s="26" t="n">
        <f aca="false">INT(A445-4/24)</f>
        <v>46267</v>
      </c>
    </row>
    <row r="446" customFormat="false" ht="15" hidden="false" customHeight="false" outlineLevel="0" collapsed="false">
      <c r="A446" s="30" t="n">
        <v>46267.3638888889</v>
      </c>
      <c r="B446" s="31" t="s">
        <v>74</v>
      </c>
      <c r="C446" s="31"/>
      <c r="D446" s="31" t="s">
        <v>84</v>
      </c>
      <c r="E446" s="31"/>
      <c r="F446" s="26" t="n">
        <f aca="false">INT(A446-4/24)</f>
        <v>46267</v>
      </c>
    </row>
    <row r="447" customFormat="false" ht="15" hidden="false" customHeight="false" outlineLevel="0" collapsed="false">
      <c r="A447" s="30" t="n">
        <v>46267.3666666667</v>
      </c>
      <c r="B447" s="31" t="s">
        <v>75</v>
      </c>
      <c r="C447" s="31"/>
      <c r="D447" s="31"/>
      <c r="E447" s="31"/>
      <c r="F447" s="26" t="n">
        <f aca="false">INT(A447-4/24)</f>
        <v>46267</v>
      </c>
    </row>
    <row r="448" customFormat="false" ht="15" hidden="false" customHeight="false" outlineLevel="0" collapsed="false">
      <c r="A448" s="30" t="n">
        <v>46267.3680555556</v>
      </c>
      <c r="B448" s="31" t="s">
        <v>77</v>
      </c>
      <c r="C448" s="31" t="n">
        <v>4</v>
      </c>
      <c r="D448" s="31"/>
      <c r="E448" s="31"/>
      <c r="F448" s="26" t="n">
        <f aca="false">INT(A448-4/24)</f>
        <v>46267</v>
      </c>
    </row>
    <row r="449" customFormat="false" ht="15" hidden="false" customHeight="false" outlineLevel="0" collapsed="false">
      <c r="A449" s="30" t="n">
        <v>46267.4354166667</v>
      </c>
      <c r="B449" s="31" t="s">
        <v>80</v>
      </c>
      <c r="C449" s="31"/>
      <c r="D449" s="31"/>
      <c r="E449" s="31"/>
      <c r="F449" s="26" t="n">
        <f aca="false">INT(A449-4/24)</f>
        <v>46267</v>
      </c>
    </row>
    <row r="450" customFormat="false" ht="15" hidden="false" customHeight="false" outlineLevel="0" collapsed="false">
      <c r="A450" s="30" t="n">
        <v>46267.4444444445</v>
      </c>
      <c r="B450" s="31" t="s">
        <v>81</v>
      </c>
      <c r="C450" s="31"/>
      <c r="D450" s="31"/>
      <c r="E450" s="31"/>
      <c r="F450" s="26" t="n">
        <f aca="false">INT(A450-4/24)</f>
        <v>46267</v>
      </c>
    </row>
    <row r="451" customFormat="false" ht="15" hidden="false" customHeight="false" outlineLevel="0" collapsed="false">
      <c r="A451" s="30" t="n">
        <v>46267.4597222222</v>
      </c>
      <c r="B451" s="31" t="s">
        <v>74</v>
      </c>
      <c r="C451" s="31"/>
      <c r="D451" s="31" t="s">
        <v>84</v>
      </c>
      <c r="E451" s="31"/>
      <c r="F451" s="26" t="n">
        <f aca="false">INT(A451-4/24)</f>
        <v>46267</v>
      </c>
    </row>
    <row r="452" customFormat="false" ht="15" hidden="false" customHeight="false" outlineLevel="0" collapsed="false">
      <c r="A452" s="30" t="n">
        <v>46267.5013888889</v>
      </c>
      <c r="B452" s="31" t="s">
        <v>77</v>
      </c>
      <c r="C452" s="31" t="n">
        <v>4</v>
      </c>
      <c r="D452" s="31"/>
      <c r="E452" s="31"/>
      <c r="F452" s="26" t="n">
        <f aca="false">INT(A452-4/24)</f>
        <v>46267</v>
      </c>
    </row>
    <row r="453" customFormat="false" ht="15" hidden="false" customHeight="false" outlineLevel="0" collapsed="false">
      <c r="A453" s="30" t="n">
        <v>46267.5708333333</v>
      </c>
      <c r="B453" s="31" t="s">
        <v>80</v>
      </c>
      <c r="C453" s="31"/>
      <c r="D453" s="31"/>
      <c r="E453" s="31"/>
      <c r="F453" s="26" t="n">
        <f aca="false">INT(A453-4/24)</f>
        <v>46267</v>
      </c>
    </row>
    <row r="454" customFormat="false" ht="15" hidden="false" customHeight="false" outlineLevel="0" collapsed="false">
      <c r="A454" s="30" t="n">
        <v>46267.5784722222</v>
      </c>
      <c r="B454" s="31" t="s">
        <v>81</v>
      </c>
      <c r="C454" s="31"/>
      <c r="D454" s="31"/>
      <c r="E454" s="31"/>
      <c r="F454" s="26" t="n">
        <f aca="false">INT(A454-4/24)</f>
        <v>46267</v>
      </c>
    </row>
    <row r="455" customFormat="false" ht="15" hidden="false" customHeight="false" outlineLevel="0" collapsed="false">
      <c r="A455" s="30" t="n">
        <v>46267.625</v>
      </c>
      <c r="B455" s="31" t="s">
        <v>74</v>
      </c>
      <c r="C455" s="31"/>
      <c r="D455" s="31" t="s">
        <v>82</v>
      </c>
      <c r="E455" s="31"/>
      <c r="F455" s="26" t="n">
        <f aca="false">INT(A455-4/24)</f>
        <v>46267</v>
      </c>
    </row>
    <row r="456" customFormat="false" ht="15" hidden="false" customHeight="false" outlineLevel="0" collapsed="false">
      <c r="A456" s="30" t="n">
        <v>46267.6270833333</v>
      </c>
      <c r="B456" s="31" t="s">
        <v>77</v>
      </c>
      <c r="C456" s="31" t="n">
        <v>4</v>
      </c>
      <c r="D456" s="31"/>
      <c r="E456" s="31"/>
      <c r="F456" s="26" t="n">
        <f aca="false">INT(A456-4/24)</f>
        <v>46267</v>
      </c>
    </row>
    <row r="457" customFormat="false" ht="15" hidden="false" customHeight="false" outlineLevel="0" collapsed="false">
      <c r="A457" s="30" t="n">
        <v>46267.6402777778</v>
      </c>
      <c r="B457" s="31" t="s">
        <v>80</v>
      </c>
      <c r="C457" s="31"/>
      <c r="D457" s="31"/>
      <c r="E457" s="31"/>
      <c r="F457" s="26" t="n">
        <f aca="false">INT(A457-4/24)</f>
        <v>46267</v>
      </c>
    </row>
    <row r="458" customFormat="false" ht="15" hidden="false" customHeight="false" outlineLevel="0" collapsed="false">
      <c r="A458" s="30" t="n">
        <v>46267.6527777778</v>
      </c>
      <c r="B458" s="31" t="s">
        <v>81</v>
      </c>
      <c r="C458" s="31"/>
      <c r="D458" s="31"/>
      <c r="E458" s="31"/>
      <c r="F458" s="26" t="n">
        <f aca="false">INT(A458-4/24)</f>
        <v>46267</v>
      </c>
    </row>
    <row r="459" customFormat="false" ht="15" hidden="false" customHeight="false" outlineLevel="0" collapsed="false">
      <c r="A459" s="30" t="n">
        <v>46267.6638888889</v>
      </c>
      <c r="B459" s="31" t="s">
        <v>81</v>
      </c>
      <c r="C459" s="31"/>
      <c r="D459" s="31"/>
      <c r="E459" s="31"/>
      <c r="F459" s="26" t="n">
        <f aca="false">INT(A459-4/24)</f>
        <v>46267</v>
      </c>
    </row>
    <row r="460" customFormat="false" ht="15" hidden="false" customHeight="false" outlineLevel="0" collapsed="false">
      <c r="A460" s="30" t="n">
        <v>46267.7402777778</v>
      </c>
      <c r="B460" s="31" t="s">
        <v>74</v>
      </c>
      <c r="C460" s="31"/>
      <c r="D460" s="31" t="s">
        <v>82</v>
      </c>
      <c r="E460" s="31"/>
      <c r="F460" s="26" t="n">
        <f aca="false">INT(A460-4/24)</f>
        <v>46267</v>
      </c>
    </row>
    <row r="461" customFormat="false" ht="15" hidden="false" customHeight="false" outlineLevel="0" collapsed="false">
      <c r="A461" s="30" t="n">
        <v>46267.7652777778</v>
      </c>
      <c r="B461" s="31" t="s">
        <v>75</v>
      </c>
      <c r="C461" s="31"/>
      <c r="D461" s="31"/>
      <c r="E461" s="31"/>
      <c r="F461" s="26" t="n">
        <f aca="false">INT(A461-4/24)</f>
        <v>46267</v>
      </c>
    </row>
    <row r="462" customFormat="false" ht="15" hidden="false" customHeight="false" outlineLevel="0" collapsed="false">
      <c r="A462" s="30" t="n">
        <v>46267.7680555556</v>
      </c>
      <c r="B462" s="31" t="s">
        <v>77</v>
      </c>
      <c r="C462" s="31" t="n">
        <v>4</v>
      </c>
      <c r="D462" s="31"/>
      <c r="E462" s="31"/>
      <c r="F462" s="26" t="n">
        <f aca="false">INT(A462-4/24)</f>
        <v>46267</v>
      </c>
    </row>
    <row r="463" customFormat="false" ht="15" hidden="false" customHeight="false" outlineLevel="0" collapsed="false">
      <c r="A463" s="30" t="n">
        <v>46267.8881944444</v>
      </c>
      <c r="B463" s="31" t="s">
        <v>77</v>
      </c>
      <c r="C463" s="31" t="n">
        <v>4</v>
      </c>
      <c r="D463" s="31"/>
      <c r="E463" s="31"/>
      <c r="F463" s="26" t="n">
        <f aca="false">INT(A463-4/24)</f>
        <v>46267</v>
      </c>
    </row>
    <row r="464" customFormat="false" ht="15" hidden="false" customHeight="false" outlineLevel="0" collapsed="false">
      <c r="A464" s="30" t="n">
        <v>46267.9840277778</v>
      </c>
      <c r="B464" s="31" t="s">
        <v>74</v>
      </c>
      <c r="C464" s="31"/>
      <c r="D464" s="31" t="s">
        <v>82</v>
      </c>
      <c r="E464" s="31"/>
      <c r="F464" s="26" t="n">
        <f aca="false">INT(A464-4/24)</f>
        <v>46267</v>
      </c>
    </row>
    <row r="465" customFormat="false" ht="15" hidden="false" customHeight="false" outlineLevel="0" collapsed="false">
      <c r="A465" s="30" t="n">
        <v>46268</v>
      </c>
      <c r="B465" s="31" t="s">
        <v>75</v>
      </c>
      <c r="C465" s="31"/>
      <c r="D465" s="31"/>
      <c r="E465" s="31"/>
      <c r="F465" s="26" t="n">
        <f aca="false">INT(A465-4/24)</f>
        <v>46267</v>
      </c>
    </row>
    <row r="466" customFormat="false" ht="15" hidden="false" customHeight="false" outlineLevel="0" collapsed="false">
      <c r="A466" s="30" t="n">
        <v>46268</v>
      </c>
      <c r="B466" s="31" t="s">
        <v>77</v>
      </c>
      <c r="C466" s="31" t="n">
        <v>4</v>
      </c>
      <c r="D466" s="31"/>
      <c r="E466" s="31"/>
      <c r="F466" s="26" t="n">
        <f aca="false">INT(A466-4/24)</f>
        <v>46267</v>
      </c>
    </row>
    <row r="467" customFormat="false" ht="15" hidden="false" customHeight="false" outlineLevel="0" collapsed="false">
      <c r="A467" s="30" t="n">
        <v>46268.0395833333</v>
      </c>
      <c r="B467" s="31" t="s">
        <v>20</v>
      </c>
      <c r="C467" s="31"/>
      <c r="D467" s="31"/>
      <c r="E467" s="31"/>
      <c r="F467" s="26" t="n">
        <f aca="false">INT(A467-4/24)</f>
        <v>46267</v>
      </c>
    </row>
    <row r="468" customFormat="false" ht="15" hidden="false" customHeight="false" outlineLevel="0" collapsed="false">
      <c r="A468" s="30" t="n">
        <v>46268.0416666667</v>
      </c>
      <c r="B468" s="31" t="s">
        <v>20</v>
      </c>
      <c r="C468" s="31"/>
      <c r="D468" s="31"/>
      <c r="E468" s="31"/>
      <c r="F468" s="26" t="n">
        <f aca="false">INT(A468-4/24)</f>
        <v>46267</v>
      </c>
    </row>
    <row r="469" customFormat="false" ht="15" hidden="false" customHeight="false" outlineLevel="0" collapsed="false">
      <c r="A469" s="30" t="n">
        <v>46268.3583333333</v>
      </c>
      <c r="B469" s="31" t="s">
        <v>79</v>
      </c>
      <c r="C469" s="31"/>
      <c r="D469" s="31"/>
      <c r="E469" s="31"/>
      <c r="F469" s="26" t="n">
        <f aca="false">INT(A469-4/24)</f>
        <v>46268</v>
      </c>
    </row>
    <row r="470" customFormat="false" ht="15" hidden="false" customHeight="false" outlineLevel="0" collapsed="false">
      <c r="A470" s="30" t="n">
        <v>46268.3590277778</v>
      </c>
      <c r="B470" s="31" t="s">
        <v>74</v>
      </c>
      <c r="C470" s="31"/>
      <c r="D470" s="31" t="s">
        <v>82</v>
      </c>
      <c r="E470" s="31"/>
      <c r="F470" s="26" t="n">
        <f aca="false">INT(A470-4/24)</f>
        <v>46268</v>
      </c>
    </row>
    <row r="471" customFormat="false" ht="15" hidden="false" customHeight="false" outlineLevel="0" collapsed="false">
      <c r="A471" s="30" t="n">
        <v>46268.3638888889</v>
      </c>
      <c r="B471" s="31" t="s">
        <v>75</v>
      </c>
      <c r="C471" s="31"/>
      <c r="D471" s="31"/>
      <c r="E471" s="31"/>
      <c r="F471" s="26" t="n">
        <f aca="false">INT(A471-4/24)</f>
        <v>46268</v>
      </c>
    </row>
    <row r="472" customFormat="false" ht="15" hidden="false" customHeight="false" outlineLevel="0" collapsed="false">
      <c r="A472" s="30" t="n">
        <v>46268.3645833333</v>
      </c>
      <c r="B472" s="31" t="s">
        <v>77</v>
      </c>
      <c r="C472" s="31" t="n">
        <v>4</v>
      </c>
      <c r="D472" s="31"/>
      <c r="E472" s="31"/>
      <c r="F472" s="26" t="n">
        <f aca="false">INT(A472-4/24)</f>
        <v>46268</v>
      </c>
    </row>
    <row r="473" customFormat="false" ht="15" hidden="false" customHeight="false" outlineLevel="0" collapsed="false">
      <c r="A473" s="30" t="n">
        <v>46268.4201388889</v>
      </c>
      <c r="B473" s="31" t="s">
        <v>80</v>
      </c>
      <c r="C473" s="31"/>
      <c r="D473" s="31"/>
      <c r="E473" s="31"/>
      <c r="F473" s="26" t="n">
        <f aca="false">INT(A473-4/24)</f>
        <v>46268</v>
      </c>
    </row>
    <row r="474" customFormat="false" ht="15" hidden="false" customHeight="false" outlineLevel="0" collapsed="false">
      <c r="A474" s="30" t="n">
        <v>46268.4430555556</v>
      </c>
      <c r="B474" s="31" t="s">
        <v>81</v>
      </c>
      <c r="C474" s="31"/>
      <c r="D474" s="31"/>
      <c r="E474" s="31"/>
      <c r="F474" s="26" t="n">
        <f aca="false">INT(A474-4/24)</f>
        <v>46268</v>
      </c>
    </row>
    <row r="475" customFormat="false" ht="15" hidden="false" customHeight="false" outlineLevel="0" collapsed="false">
      <c r="A475" s="30" t="n">
        <v>46268.5020833333</v>
      </c>
      <c r="B475" s="31" t="s">
        <v>74</v>
      </c>
      <c r="C475" s="31"/>
      <c r="D475" s="31" t="s">
        <v>82</v>
      </c>
      <c r="E475" s="31"/>
      <c r="F475" s="26" t="n">
        <f aca="false">INT(A475-4/24)</f>
        <v>46268</v>
      </c>
    </row>
    <row r="476" customFormat="false" ht="15" hidden="false" customHeight="false" outlineLevel="0" collapsed="false">
      <c r="A476" s="30" t="n">
        <v>46268.5027777778</v>
      </c>
      <c r="B476" s="31" t="s">
        <v>77</v>
      </c>
      <c r="C476" s="31" t="n">
        <v>4</v>
      </c>
      <c r="D476" s="31"/>
      <c r="E476" s="31"/>
      <c r="F476" s="26" t="n">
        <f aca="false">INT(A476-4/24)</f>
        <v>46268</v>
      </c>
    </row>
    <row r="477" customFormat="false" ht="15" hidden="false" customHeight="false" outlineLevel="0" collapsed="false">
      <c r="A477" s="30" t="n">
        <v>46268.5833333333</v>
      </c>
      <c r="B477" s="31" t="s">
        <v>80</v>
      </c>
      <c r="C477" s="31"/>
      <c r="D477" s="31"/>
      <c r="E477" s="31"/>
      <c r="F477" s="26" t="n">
        <f aca="false">INT(A477-4/24)</f>
        <v>46268</v>
      </c>
    </row>
    <row r="478" customFormat="false" ht="15" hidden="false" customHeight="false" outlineLevel="0" collapsed="false">
      <c r="A478" s="30" t="n">
        <v>46268.6006944445</v>
      </c>
      <c r="B478" s="31" t="s">
        <v>81</v>
      </c>
      <c r="C478" s="31"/>
      <c r="D478" s="31"/>
      <c r="E478" s="31"/>
      <c r="F478" s="26" t="n">
        <f aca="false">INT(A478-4/24)</f>
        <v>46268</v>
      </c>
    </row>
    <row r="479" customFormat="false" ht="15" hidden="false" customHeight="false" outlineLevel="0" collapsed="false">
      <c r="A479" s="30" t="n">
        <v>46268.6194444444</v>
      </c>
      <c r="B479" s="31" t="s">
        <v>77</v>
      </c>
      <c r="C479" s="31" t="n">
        <v>4</v>
      </c>
      <c r="D479" s="31"/>
      <c r="E479" s="31"/>
      <c r="F479" s="26" t="n">
        <f aca="false">INT(A479-4/24)</f>
        <v>46268</v>
      </c>
    </row>
    <row r="480" customFormat="false" ht="15" hidden="false" customHeight="false" outlineLevel="0" collapsed="false">
      <c r="A480" s="30" t="n">
        <v>46268.6840277778</v>
      </c>
      <c r="B480" s="31" t="s">
        <v>80</v>
      </c>
      <c r="C480" s="31"/>
      <c r="D480" s="31"/>
      <c r="E480" s="31"/>
      <c r="F480" s="26" t="n">
        <f aca="false">INT(A480-4/24)</f>
        <v>46268</v>
      </c>
    </row>
    <row r="481" customFormat="false" ht="15" hidden="false" customHeight="false" outlineLevel="0" collapsed="false">
      <c r="A481" s="30" t="n">
        <v>46268.7013888889</v>
      </c>
      <c r="B481" s="31" t="s">
        <v>81</v>
      </c>
      <c r="C481" s="31"/>
      <c r="D481" s="31"/>
      <c r="E481" s="31"/>
      <c r="F481" s="26" t="n">
        <f aca="false">INT(A481-4/24)</f>
        <v>46268</v>
      </c>
    </row>
    <row r="482" customFormat="false" ht="15" hidden="false" customHeight="false" outlineLevel="0" collapsed="false">
      <c r="A482" s="30" t="n">
        <v>46268.7118055556</v>
      </c>
      <c r="B482" s="31" t="s">
        <v>74</v>
      </c>
      <c r="C482" s="31"/>
      <c r="D482" s="31" t="s">
        <v>82</v>
      </c>
      <c r="E482" s="31"/>
      <c r="F482" s="26" t="n">
        <f aca="false">INT(A482-4/24)</f>
        <v>46268</v>
      </c>
    </row>
    <row r="483" customFormat="false" ht="15" hidden="false" customHeight="false" outlineLevel="0" collapsed="false">
      <c r="A483" s="30" t="n">
        <v>46268.7291666667</v>
      </c>
      <c r="B483" s="31" t="s">
        <v>75</v>
      </c>
      <c r="C483" s="31"/>
      <c r="D483" s="31"/>
      <c r="E483" s="31"/>
      <c r="F483" s="26" t="n">
        <f aca="false">INT(A483-4/24)</f>
        <v>46268</v>
      </c>
    </row>
    <row r="484" customFormat="false" ht="15" hidden="false" customHeight="false" outlineLevel="0" collapsed="false">
      <c r="A484" s="30" t="n">
        <v>46268.7625</v>
      </c>
      <c r="B484" s="31" t="s">
        <v>77</v>
      </c>
      <c r="C484" s="31" t="n">
        <v>4</v>
      </c>
      <c r="D484" s="31"/>
      <c r="E484" s="31"/>
      <c r="F484" s="26" t="n">
        <f aca="false">INT(A484-4/24)</f>
        <v>46268</v>
      </c>
    </row>
    <row r="485" customFormat="false" ht="15" hidden="false" customHeight="false" outlineLevel="0" collapsed="false">
      <c r="A485" s="30" t="n">
        <v>46268.8263888889</v>
      </c>
      <c r="B485" s="31" t="s">
        <v>74</v>
      </c>
      <c r="C485" s="31"/>
      <c r="D485" s="31" t="s">
        <v>82</v>
      </c>
      <c r="E485" s="31"/>
      <c r="F485" s="26" t="n">
        <f aca="false">INT(A485-4/24)</f>
        <v>46268</v>
      </c>
    </row>
    <row r="486" customFormat="false" ht="15" hidden="false" customHeight="false" outlineLevel="0" collapsed="false">
      <c r="A486" s="30" t="n">
        <v>46268.84375</v>
      </c>
      <c r="B486" s="31" t="s">
        <v>74</v>
      </c>
      <c r="C486" s="31"/>
      <c r="D486" s="31" t="s">
        <v>84</v>
      </c>
      <c r="E486" s="31"/>
      <c r="F486" s="26" t="n">
        <f aca="false">INT(A486-4/24)</f>
        <v>46268</v>
      </c>
    </row>
    <row r="487" customFormat="false" ht="15" hidden="false" customHeight="false" outlineLevel="0" collapsed="false">
      <c r="A487" s="30" t="n">
        <v>46268.8861111111</v>
      </c>
      <c r="B487" s="31" t="s">
        <v>77</v>
      </c>
      <c r="C487" s="31" t="n">
        <v>4</v>
      </c>
      <c r="D487" s="31"/>
      <c r="E487" s="31"/>
      <c r="F487" s="26" t="n">
        <f aca="false">INT(A487-4/24)</f>
        <v>46268</v>
      </c>
    </row>
    <row r="488" customFormat="false" ht="15" hidden="false" customHeight="false" outlineLevel="0" collapsed="false">
      <c r="A488" s="30" t="n">
        <v>46268.8958333333</v>
      </c>
      <c r="B488" s="31" t="s">
        <v>77</v>
      </c>
      <c r="C488" s="31" t="n">
        <v>4</v>
      </c>
      <c r="D488" s="31"/>
      <c r="E488" s="31"/>
      <c r="F488" s="26" t="n">
        <f aca="false">INT(A488-4/24)</f>
        <v>46268</v>
      </c>
    </row>
    <row r="489" customFormat="false" ht="15" hidden="false" customHeight="false" outlineLevel="0" collapsed="false">
      <c r="A489" s="30" t="n">
        <v>46268.9027777778</v>
      </c>
      <c r="B489" s="31" t="s">
        <v>80</v>
      </c>
      <c r="C489" s="31"/>
      <c r="D489" s="31"/>
      <c r="E489" s="31"/>
      <c r="F489" s="26" t="n">
        <f aca="false">INT(A489-4/24)</f>
        <v>46268</v>
      </c>
    </row>
    <row r="490" customFormat="false" ht="15" hidden="false" customHeight="false" outlineLevel="0" collapsed="false">
      <c r="A490" s="30" t="n">
        <v>46268.9527777778</v>
      </c>
      <c r="B490" s="31" t="s">
        <v>81</v>
      </c>
      <c r="C490" s="31"/>
      <c r="D490" s="31"/>
      <c r="E490" s="31"/>
      <c r="F490" s="26" t="n">
        <f aca="false">INT(A490-4/24)</f>
        <v>46268</v>
      </c>
    </row>
    <row r="491" customFormat="false" ht="15" hidden="false" customHeight="false" outlineLevel="0" collapsed="false">
      <c r="A491" s="30" t="n">
        <v>46269.0020833333</v>
      </c>
      <c r="B491" s="31" t="s">
        <v>74</v>
      </c>
      <c r="C491" s="31"/>
      <c r="D491" s="31" t="s">
        <v>82</v>
      </c>
      <c r="E491" s="31"/>
      <c r="F491" s="26" t="n">
        <f aca="false">INT(A491-4/24)</f>
        <v>46268</v>
      </c>
    </row>
    <row r="492" customFormat="false" ht="15" hidden="false" customHeight="false" outlineLevel="0" collapsed="false">
      <c r="A492" s="30" t="n">
        <v>46269.0076388889</v>
      </c>
      <c r="B492" s="31" t="s">
        <v>75</v>
      </c>
      <c r="C492" s="31"/>
      <c r="D492" s="31"/>
      <c r="E492" s="31"/>
      <c r="F492" s="26" t="n">
        <f aca="false">INT(A492-4/24)</f>
        <v>46268</v>
      </c>
    </row>
    <row r="493" customFormat="false" ht="15" hidden="false" customHeight="false" outlineLevel="0" collapsed="false">
      <c r="A493" s="30" t="n">
        <v>46269.0076388889</v>
      </c>
      <c r="B493" s="31" t="s">
        <v>77</v>
      </c>
      <c r="C493" s="31" t="n">
        <v>4</v>
      </c>
      <c r="D493" s="31"/>
      <c r="E493" s="31"/>
      <c r="F493" s="26" t="n">
        <f aca="false">INT(A493-4/24)</f>
        <v>46268</v>
      </c>
    </row>
    <row r="494" customFormat="false" ht="15" hidden="false" customHeight="false" outlineLevel="0" collapsed="false">
      <c r="A494" s="30" t="n">
        <v>46269.0493055556</v>
      </c>
      <c r="B494" s="31" t="s">
        <v>20</v>
      </c>
      <c r="C494" s="31"/>
      <c r="D494" s="31"/>
      <c r="E494" s="31"/>
      <c r="F494" s="26" t="n">
        <f aca="false">INT(A494-4/24)</f>
        <v>46268</v>
      </c>
    </row>
    <row r="495" customFormat="false" ht="15" hidden="false" customHeight="false" outlineLevel="0" collapsed="false">
      <c r="A495" s="30" t="n">
        <v>46269.3402777778</v>
      </c>
      <c r="B495" s="31" t="s">
        <v>79</v>
      </c>
      <c r="C495" s="31"/>
      <c r="D495" s="31"/>
      <c r="E495" s="31"/>
      <c r="F495" s="26" t="n">
        <f aca="false">INT(A495-4/24)</f>
        <v>46269</v>
      </c>
    </row>
    <row r="496" customFormat="false" ht="15" hidden="false" customHeight="false" outlineLevel="0" collapsed="false">
      <c r="A496" s="30" t="n">
        <v>46269.34375</v>
      </c>
      <c r="B496" s="31" t="s">
        <v>74</v>
      </c>
      <c r="C496" s="31"/>
      <c r="D496" s="31" t="s">
        <v>82</v>
      </c>
      <c r="E496" s="31"/>
      <c r="F496" s="26" t="n">
        <f aca="false">INT(A496-4/24)</f>
        <v>46269</v>
      </c>
    </row>
    <row r="497" customFormat="false" ht="15" hidden="false" customHeight="false" outlineLevel="0" collapsed="false">
      <c r="A497" s="30" t="n">
        <v>46269.3465277778</v>
      </c>
      <c r="B497" s="31" t="s">
        <v>75</v>
      </c>
      <c r="C497" s="31"/>
      <c r="D497" s="31"/>
      <c r="E497" s="31"/>
      <c r="F497" s="26" t="n">
        <f aca="false">INT(A497-4/24)</f>
        <v>46269</v>
      </c>
    </row>
    <row r="498" customFormat="false" ht="15" hidden="false" customHeight="false" outlineLevel="0" collapsed="false">
      <c r="A498" s="30" t="n">
        <v>46269.3472222222</v>
      </c>
      <c r="B498" s="31" t="s">
        <v>77</v>
      </c>
      <c r="C498" s="31" t="n">
        <v>4</v>
      </c>
      <c r="D498" s="31"/>
      <c r="E498" s="31"/>
      <c r="F498" s="26" t="n">
        <f aca="false">INT(A498-4/24)</f>
        <v>46269</v>
      </c>
    </row>
    <row r="499" customFormat="false" ht="15" hidden="false" customHeight="false" outlineLevel="0" collapsed="false">
      <c r="A499" s="30" t="n">
        <v>46269.4743055556</v>
      </c>
      <c r="B499" s="31" t="s">
        <v>77</v>
      </c>
      <c r="C499" s="31" t="n">
        <v>4</v>
      </c>
      <c r="D499" s="31"/>
      <c r="E499" s="31"/>
      <c r="F499" s="26" t="n">
        <f aca="false">INT(A499-4/24)</f>
        <v>46269</v>
      </c>
    </row>
    <row r="500" customFormat="false" ht="15" hidden="false" customHeight="false" outlineLevel="0" collapsed="false">
      <c r="A500" s="30" t="n">
        <v>46269.6020833333</v>
      </c>
      <c r="B500" s="31" t="s">
        <v>74</v>
      </c>
      <c r="C500" s="31"/>
      <c r="D500" s="31" t="s">
        <v>82</v>
      </c>
      <c r="E500" s="31"/>
      <c r="F500" s="26" t="n">
        <f aca="false">INT(A500-4/24)</f>
        <v>46269</v>
      </c>
    </row>
    <row r="501" customFormat="false" ht="15" hidden="false" customHeight="false" outlineLevel="0" collapsed="false">
      <c r="A501" s="30" t="n">
        <v>46269.6111111111</v>
      </c>
      <c r="B501" s="31" t="s">
        <v>77</v>
      </c>
      <c r="C501" s="31" t="n">
        <v>4</v>
      </c>
      <c r="D501" s="31"/>
      <c r="E501" s="31"/>
      <c r="F501" s="26" t="n">
        <f aca="false">INT(A501-4/24)</f>
        <v>46269</v>
      </c>
    </row>
    <row r="502" customFormat="false" ht="15" hidden="false" customHeight="false" outlineLevel="0" collapsed="false">
      <c r="A502" s="30" t="n">
        <v>46269.6798611111</v>
      </c>
      <c r="B502" s="31" t="s">
        <v>75</v>
      </c>
      <c r="C502" s="31"/>
      <c r="D502" s="31"/>
      <c r="E502" s="31"/>
      <c r="F502" s="26" t="n">
        <f aca="false">INT(A502-4/24)</f>
        <v>46269</v>
      </c>
    </row>
    <row r="503" customFormat="false" ht="15" hidden="false" customHeight="false" outlineLevel="0" collapsed="false">
      <c r="A503" s="30" t="n">
        <v>46269.6875</v>
      </c>
      <c r="B503" s="31" t="s">
        <v>74</v>
      </c>
      <c r="C503" s="31"/>
      <c r="D503" s="31" t="s">
        <v>84</v>
      </c>
      <c r="E503" s="31"/>
      <c r="F503" s="26" t="n">
        <f aca="false">INT(A503-4/24)</f>
        <v>46269</v>
      </c>
    </row>
    <row r="504" customFormat="false" ht="15" hidden="false" customHeight="false" outlineLevel="0" collapsed="false">
      <c r="A504" s="30" t="n">
        <v>46269.7645833333</v>
      </c>
      <c r="B504" s="31" t="s">
        <v>77</v>
      </c>
      <c r="C504" s="31" t="n">
        <v>4</v>
      </c>
      <c r="D504" s="31"/>
      <c r="E504" s="31"/>
      <c r="F504" s="26" t="n">
        <f aca="false">INT(A504-4/24)</f>
        <v>46269</v>
      </c>
    </row>
    <row r="505" customFormat="false" ht="15" hidden="false" customHeight="false" outlineLevel="0" collapsed="false">
      <c r="A505" s="30" t="n">
        <v>46269.7805555556</v>
      </c>
      <c r="B505" s="31" t="s">
        <v>74</v>
      </c>
      <c r="C505" s="31"/>
      <c r="D505" s="31" t="s">
        <v>84</v>
      </c>
      <c r="E505" s="31"/>
      <c r="F505" s="26" t="n">
        <f aca="false">INT(A505-4/24)</f>
        <v>46269</v>
      </c>
    </row>
    <row r="506" customFormat="false" ht="15" hidden="false" customHeight="false" outlineLevel="0" collapsed="false">
      <c r="A506" s="30" t="n">
        <v>46269.8194444445</v>
      </c>
      <c r="B506" s="31" t="s">
        <v>74</v>
      </c>
      <c r="C506" s="31"/>
      <c r="D506" s="31" t="s">
        <v>82</v>
      </c>
      <c r="E506" s="31"/>
      <c r="F506" s="26" t="n">
        <f aca="false">INT(A506-4/24)</f>
        <v>46269</v>
      </c>
    </row>
    <row r="507" customFormat="false" ht="15" hidden="false" customHeight="false" outlineLevel="0" collapsed="false">
      <c r="A507" s="30" t="n">
        <v>46269.8666666667</v>
      </c>
      <c r="B507" s="31" t="s">
        <v>80</v>
      </c>
      <c r="C507" s="31"/>
      <c r="D507" s="31"/>
      <c r="E507" s="31"/>
      <c r="F507" s="26" t="n">
        <f aca="false">INT(A507-4/24)</f>
        <v>46269</v>
      </c>
    </row>
    <row r="508" customFormat="false" ht="15" hidden="false" customHeight="false" outlineLevel="0" collapsed="false">
      <c r="A508" s="30" t="n">
        <v>46269.8888888889</v>
      </c>
      <c r="B508" s="31" t="s">
        <v>81</v>
      </c>
      <c r="C508" s="31"/>
      <c r="D508" s="31"/>
      <c r="E508" s="31"/>
      <c r="F508" s="26" t="n">
        <f aca="false">INT(A508-4/24)</f>
        <v>46269</v>
      </c>
    </row>
    <row r="509" customFormat="false" ht="15" hidden="false" customHeight="false" outlineLevel="0" collapsed="false">
      <c r="A509" s="30" t="n">
        <v>46269.8951388889</v>
      </c>
      <c r="B509" s="31" t="s">
        <v>77</v>
      </c>
      <c r="C509" s="31" t="n">
        <v>4</v>
      </c>
      <c r="D509" s="31"/>
      <c r="E509" s="31"/>
      <c r="F509" s="26" t="n">
        <f aca="false">INT(A509-4/24)</f>
        <v>46269</v>
      </c>
    </row>
    <row r="510" customFormat="false" ht="15" hidden="false" customHeight="false" outlineLevel="0" collapsed="false">
      <c r="A510" s="30" t="n">
        <v>46269.8958333333</v>
      </c>
      <c r="B510" s="31" t="s">
        <v>77</v>
      </c>
      <c r="C510" s="31" t="n">
        <v>4</v>
      </c>
      <c r="D510" s="31"/>
      <c r="E510" s="31"/>
      <c r="F510" s="26" t="n">
        <f aca="false">INT(A510-4/24)</f>
        <v>46269</v>
      </c>
    </row>
    <row r="511" customFormat="false" ht="15" hidden="false" customHeight="false" outlineLevel="0" collapsed="false">
      <c r="A511" s="30" t="n">
        <v>46269.9583333333</v>
      </c>
      <c r="B511" s="31" t="s">
        <v>80</v>
      </c>
      <c r="C511" s="31"/>
      <c r="D511" s="31"/>
      <c r="E511" s="31"/>
      <c r="F511" s="26" t="n">
        <f aca="false">INT(A511-4/24)</f>
        <v>46269</v>
      </c>
    </row>
    <row r="512" customFormat="false" ht="15" hidden="false" customHeight="false" outlineLevel="0" collapsed="false">
      <c r="A512" s="30" t="n">
        <v>46269.9986111111</v>
      </c>
      <c r="B512" s="31" t="s">
        <v>81</v>
      </c>
      <c r="C512" s="31"/>
      <c r="D512" s="31"/>
      <c r="E512" s="31"/>
      <c r="F512" s="26" t="n">
        <f aca="false">INT(A512-4/24)</f>
        <v>46269</v>
      </c>
    </row>
    <row r="513" customFormat="false" ht="15" hidden="false" customHeight="false" outlineLevel="0" collapsed="false">
      <c r="A513" s="30" t="n">
        <v>46269.9993055556</v>
      </c>
      <c r="B513" s="31" t="s">
        <v>74</v>
      </c>
      <c r="C513" s="31"/>
      <c r="D513" s="31"/>
      <c r="E513" s="31"/>
      <c r="F513" s="26" t="n">
        <f aca="false">INT(A513-4/24)</f>
        <v>46269</v>
      </c>
    </row>
    <row r="514" customFormat="false" ht="15" hidden="false" customHeight="false" outlineLevel="0" collapsed="false">
      <c r="A514" s="30" t="n">
        <v>46269.9993055556</v>
      </c>
      <c r="B514" s="31" t="s">
        <v>75</v>
      </c>
      <c r="C514" s="31"/>
      <c r="D514" s="31"/>
      <c r="E514" s="31"/>
      <c r="F514" s="26" t="n">
        <f aca="false">INT(A514-4/24)</f>
        <v>46269</v>
      </c>
    </row>
    <row r="515" customFormat="false" ht="15" hidden="false" customHeight="false" outlineLevel="0" collapsed="false">
      <c r="A515" s="30" t="n">
        <v>46270</v>
      </c>
      <c r="B515" s="31" t="s">
        <v>77</v>
      </c>
      <c r="C515" s="31" t="n">
        <v>4</v>
      </c>
      <c r="D515" s="31"/>
      <c r="E515" s="31"/>
      <c r="F515" s="26" t="n">
        <f aca="false">INT(A515-4/24)</f>
        <v>46269</v>
      </c>
    </row>
    <row r="516" customFormat="false" ht="15" hidden="false" customHeight="false" outlineLevel="0" collapsed="false">
      <c r="A516" s="30" t="n">
        <v>46270.0097222222</v>
      </c>
      <c r="B516" s="31" t="s">
        <v>80</v>
      </c>
      <c r="C516" s="31"/>
      <c r="D516" s="31"/>
      <c r="E516" s="31"/>
      <c r="F516" s="26" t="n">
        <f aca="false">INT(A516-4/24)</f>
        <v>46269</v>
      </c>
    </row>
    <row r="517" customFormat="false" ht="15" hidden="false" customHeight="false" outlineLevel="0" collapsed="false">
      <c r="A517" s="30" t="n">
        <v>46270.0416666667</v>
      </c>
      <c r="B517" s="31" t="s">
        <v>20</v>
      </c>
      <c r="C517" s="31"/>
      <c r="D517" s="31"/>
      <c r="E517" s="31"/>
      <c r="F517" s="26" t="n">
        <f aca="false">INT(A517-4/24)</f>
        <v>46269</v>
      </c>
    </row>
    <row r="518" customFormat="false" ht="15" hidden="false" customHeight="false" outlineLevel="0" collapsed="false">
      <c r="A518" s="30" t="n">
        <v>46270.0416666667</v>
      </c>
      <c r="B518" s="31" t="s">
        <v>81</v>
      </c>
      <c r="C518" s="31"/>
      <c r="D518" s="31"/>
      <c r="E518" s="31"/>
      <c r="F518" s="26" t="n">
        <f aca="false">INT(A518-4/24)</f>
        <v>46269</v>
      </c>
    </row>
    <row r="519" customFormat="false" ht="15" hidden="false" customHeight="false" outlineLevel="0" collapsed="false">
      <c r="A519" s="30" t="n">
        <v>46270.34375</v>
      </c>
      <c r="B519" s="31" t="s">
        <v>79</v>
      </c>
      <c r="C519" s="31"/>
      <c r="D519" s="31"/>
      <c r="E519" s="31"/>
      <c r="F519" s="26" t="n">
        <f aca="false">INT(A519-4/24)</f>
        <v>46270</v>
      </c>
    </row>
    <row r="520" customFormat="false" ht="15" hidden="false" customHeight="false" outlineLevel="0" collapsed="false">
      <c r="A520" s="30" t="n">
        <v>46270.3576388889</v>
      </c>
      <c r="B520" s="31" t="s">
        <v>74</v>
      </c>
      <c r="C520" s="31"/>
      <c r="D520" s="31" t="s">
        <v>82</v>
      </c>
      <c r="E520" s="31"/>
      <c r="F520" s="26" t="n">
        <f aca="false">INT(A520-4/24)</f>
        <v>46270</v>
      </c>
    </row>
    <row r="521" customFormat="false" ht="15" hidden="false" customHeight="false" outlineLevel="0" collapsed="false">
      <c r="A521" s="30" t="n">
        <v>46270.3625</v>
      </c>
      <c r="B521" s="31" t="s">
        <v>75</v>
      </c>
      <c r="C521" s="31"/>
      <c r="D521" s="31"/>
      <c r="E521" s="31"/>
      <c r="F521" s="26" t="n">
        <f aca="false">INT(A521-4/24)</f>
        <v>46270</v>
      </c>
    </row>
    <row r="522" customFormat="false" ht="15" hidden="false" customHeight="false" outlineLevel="0" collapsed="false">
      <c r="A522" s="30" t="n">
        <v>46270.3625</v>
      </c>
      <c r="B522" s="31" t="s">
        <v>77</v>
      </c>
      <c r="C522" s="31" t="n">
        <v>4</v>
      </c>
      <c r="D522" s="31"/>
      <c r="E522" s="31"/>
      <c r="F522" s="26" t="n">
        <f aca="false">INT(A522-4/24)</f>
        <v>46270</v>
      </c>
    </row>
    <row r="523" customFormat="false" ht="15" hidden="false" customHeight="false" outlineLevel="0" collapsed="false">
      <c r="A523" s="30" t="n">
        <v>46270.4722222222</v>
      </c>
      <c r="B523" s="31" t="s">
        <v>74</v>
      </c>
      <c r="C523" s="31"/>
      <c r="D523" s="31" t="s">
        <v>82</v>
      </c>
      <c r="E523" s="31"/>
      <c r="F523" s="26" t="n">
        <f aca="false">INT(A523-4/24)</f>
        <v>46270</v>
      </c>
    </row>
    <row r="524" customFormat="false" ht="15" hidden="false" customHeight="false" outlineLevel="0" collapsed="false">
      <c r="A524" s="30" t="n">
        <v>46270.4756944445</v>
      </c>
      <c r="B524" s="31" t="s">
        <v>77</v>
      </c>
      <c r="C524" s="31" t="n">
        <v>4</v>
      </c>
      <c r="D524" s="31"/>
      <c r="E524" s="31"/>
      <c r="F524" s="26" t="n">
        <f aca="false">INT(A524-4/24)</f>
        <v>46270</v>
      </c>
    </row>
    <row r="525" customFormat="false" ht="15" hidden="false" customHeight="false" outlineLevel="0" collapsed="false">
      <c r="A525" s="30" t="n">
        <v>46270.5513888889</v>
      </c>
      <c r="B525" s="31" t="s">
        <v>74</v>
      </c>
      <c r="C525" s="31"/>
      <c r="D525" s="31" t="s">
        <v>84</v>
      </c>
      <c r="E525" s="31"/>
      <c r="F525" s="26" t="n">
        <f aca="false">INT(A525-4/24)</f>
        <v>46270</v>
      </c>
    </row>
    <row r="526" customFormat="false" ht="15" hidden="false" customHeight="false" outlineLevel="0" collapsed="false">
      <c r="A526" s="30" t="n">
        <v>46270.5833333333</v>
      </c>
      <c r="B526" s="31" t="s">
        <v>77</v>
      </c>
      <c r="C526" s="31" t="n">
        <v>4</v>
      </c>
      <c r="D526" s="31"/>
      <c r="E526" s="31"/>
      <c r="F526" s="26" t="n">
        <f aca="false">INT(A526-4/24)</f>
        <v>46270</v>
      </c>
    </row>
    <row r="527" customFormat="false" ht="15" hidden="false" customHeight="false" outlineLevel="0" collapsed="false">
      <c r="A527" s="30" t="n">
        <v>46270.5923611111</v>
      </c>
      <c r="B527" s="31" t="s">
        <v>80</v>
      </c>
      <c r="C527" s="31"/>
      <c r="D527" s="31"/>
      <c r="E527" s="31"/>
      <c r="F527" s="26" t="n">
        <f aca="false">INT(A527-4/24)</f>
        <v>46270</v>
      </c>
    </row>
    <row r="528" customFormat="false" ht="15" hidden="false" customHeight="false" outlineLevel="0" collapsed="false">
      <c r="A528" s="30" t="n">
        <v>46270.6388888889</v>
      </c>
      <c r="B528" s="31" t="s">
        <v>81</v>
      </c>
      <c r="C528" s="31"/>
      <c r="D528" s="31"/>
      <c r="E528" s="31"/>
      <c r="F528" s="26" t="n">
        <f aca="false">INT(A528-4/24)</f>
        <v>46270</v>
      </c>
    </row>
    <row r="529" customFormat="false" ht="15" hidden="false" customHeight="false" outlineLevel="0" collapsed="false">
      <c r="A529" s="30" t="n">
        <v>46270.6798611111</v>
      </c>
      <c r="B529" s="31" t="s">
        <v>75</v>
      </c>
      <c r="C529" s="31"/>
      <c r="D529" s="31"/>
      <c r="E529" s="31"/>
      <c r="F529" s="26" t="n">
        <f aca="false">INT(A529-4/24)</f>
        <v>46270</v>
      </c>
    </row>
    <row r="530" customFormat="false" ht="15" hidden="false" customHeight="false" outlineLevel="0" collapsed="false">
      <c r="A530" s="30" t="n">
        <v>46270.7090277778</v>
      </c>
      <c r="B530" s="31" t="s">
        <v>74</v>
      </c>
      <c r="C530" s="31"/>
      <c r="D530" s="31" t="s">
        <v>84</v>
      </c>
      <c r="E530" s="31"/>
      <c r="F530" s="26" t="n">
        <f aca="false">INT(A530-4/24)</f>
        <v>46270</v>
      </c>
    </row>
    <row r="531" customFormat="false" ht="15" hidden="false" customHeight="false" outlineLevel="0" collapsed="false">
      <c r="A531" s="30" t="n">
        <v>46270.7236111111</v>
      </c>
      <c r="B531" s="31" t="s">
        <v>77</v>
      </c>
      <c r="C531" s="31" t="n">
        <v>4</v>
      </c>
      <c r="D531" s="31"/>
      <c r="E531" s="31"/>
      <c r="F531" s="26" t="n">
        <f aca="false">INT(A531-4/24)</f>
        <v>46270</v>
      </c>
    </row>
    <row r="532" customFormat="false" ht="15" hidden="false" customHeight="false" outlineLevel="0" collapsed="false">
      <c r="A532" s="30" t="n">
        <v>46270.8375</v>
      </c>
      <c r="B532" s="31" t="s">
        <v>77</v>
      </c>
      <c r="C532" s="31" t="n">
        <v>4</v>
      </c>
      <c r="D532" s="31"/>
      <c r="E532" s="31"/>
      <c r="F532" s="26" t="n">
        <f aca="false">INT(A532-4/24)</f>
        <v>46270</v>
      </c>
    </row>
    <row r="533" customFormat="false" ht="15" hidden="false" customHeight="false" outlineLevel="0" collapsed="false">
      <c r="A533" s="30" t="n">
        <v>46270.8486111111</v>
      </c>
      <c r="B533" s="31" t="s">
        <v>80</v>
      </c>
      <c r="C533" s="31"/>
      <c r="D533" s="31"/>
      <c r="E533" s="31"/>
      <c r="F533" s="26" t="n">
        <f aca="false">INT(A533-4/24)</f>
        <v>46270</v>
      </c>
    </row>
    <row r="534" customFormat="false" ht="15" hidden="false" customHeight="false" outlineLevel="0" collapsed="false">
      <c r="A534" s="30" t="n">
        <v>46270.8715277778</v>
      </c>
      <c r="B534" s="31" t="s">
        <v>81</v>
      </c>
      <c r="C534" s="31"/>
      <c r="D534" s="31"/>
      <c r="E534" s="31"/>
      <c r="F534" s="26" t="n">
        <f aca="false">INT(A534-4/24)</f>
        <v>46270</v>
      </c>
    </row>
    <row r="535" customFormat="false" ht="15" hidden="false" customHeight="false" outlineLevel="0" collapsed="false">
      <c r="A535" s="30" t="n">
        <v>46270.9097222222</v>
      </c>
      <c r="B535" s="31" t="s">
        <v>74</v>
      </c>
      <c r="C535" s="31"/>
      <c r="D535" s="31" t="s">
        <v>83</v>
      </c>
      <c r="E535" s="31"/>
      <c r="F535" s="26" t="n">
        <f aca="false">INT(A535-4/24)</f>
        <v>46270</v>
      </c>
    </row>
    <row r="536" customFormat="false" ht="15" hidden="false" customHeight="false" outlineLevel="0" collapsed="false">
      <c r="A536" s="30" t="n">
        <v>46270.9097222222</v>
      </c>
      <c r="B536" s="31" t="s">
        <v>74</v>
      </c>
      <c r="C536" s="31"/>
      <c r="D536" s="31" t="s">
        <v>83</v>
      </c>
      <c r="E536" s="31"/>
      <c r="F536" s="26" t="n">
        <f aca="false">INT(A536-4/24)</f>
        <v>46270</v>
      </c>
    </row>
    <row r="537" customFormat="false" ht="15" hidden="false" customHeight="false" outlineLevel="0" collapsed="false">
      <c r="A537" s="30" t="n">
        <v>46270.9791666667</v>
      </c>
      <c r="B537" s="31" t="s">
        <v>74</v>
      </c>
      <c r="C537" s="31"/>
      <c r="D537" s="31" t="s">
        <v>82</v>
      </c>
      <c r="E537" s="31"/>
      <c r="F537" s="26" t="n">
        <f aca="false">INT(A537-4/24)</f>
        <v>46270</v>
      </c>
    </row>
    <row r="538" customFormat="false" ht="15" hidden="false" customHeight="false" outlineLevel="0" collapsed="false">
      <c r="A538" s="30" t="n">
        <v>46270.9840277778</v>
      </c>
      <c r="B538" s="31" t="s">
        <v>77</v>
      </c>
      <c r="C538" s="31" t="n">
        <v>4</v>
      </c>
      <c r="D538" s="31"/>
      <c r="E538" s="31"/>
      <c r="F538" s="26" t="n">
        <f aca="false">INT(A538-4/24)</f>
        <v>46270</v>
      </c>
    </row>
    <row r="539" customFormat="false" ht="15" hidden="false" customHeight="false" outlineLevel="0" collapsed="false">
      <c r="A539" s="30" t="n">
        <v>46271.0208333333</v>
      </c>
      <c r="B539" s="31" t="s">
        <v>75</v>
      </c>
      <c r="C539" s="31"/>
      <c r="D539" s="31"/>
      <c r="E539" s="31"/>
      <c r="F539" s="26" t="n">
        <f aca="false">INT(A539-4/24)</f>
        <v>46270</v>
      </c>
    </row>
    <row r="540" customFormat="false" ht="15" hidden="false" customHeight="false" outlineLevel="0" collapsed="false">
      <c r="A540" s="30" t="n">
        <v>46271.0347222222</v>
      </c>
      <c r="B540" s="31" t="s">
        <v>20</v>
      </c>
      <c r="C540" s="31"/>
      <c r="D540" s="31"/>
      <c r="E540" s="31"/>
      <c r="F540" s="26" t="n">
        <f aca="false">INT(A540-4/24)</f>
        <v>46270</v>
      </c>
    </row>
    <row r="541" customFormat="false" ht="15" hidden="false" customHeight="false" outlineLevel="0" collapsed="false">
      <c r="A541" s="30" t="n">
        <v>46271.3194444445</v>
      </c>
      <c r="B541" s="31" t="s">
        <v>79</v>
      </c>
      <c r="C541" s="31"/>
      <c r="D541" s="31"/>
      <c r="E541" s="31"/>
      <c r="F541" s="26" t="n">
        <f aca="false">INT(A541-4/24)</f>
        <v>46271</v>
      </c>
    </row>
    <row r="542" customFormat="false" ht="15" hidden="false" customHeight="false" outlineLevel="0" collapsed="false">
      <c r="A542" s="30" t="n">
        <v>46271.3368055556</v>
      </c>
      <c r="B542" s="31" t="s">
        <v>74</v>
      </c>
      <c r="C542" s="31"/>
      <c r="D542" s="31" t="s">
        <v>82</v>
      </c>
      <c r="E542" s="31"/>
      <c r="F542" s="26" t="n">
        <f aca="false">INT(A542-4/24)</f>
        <v>46271</v>
      </c>
    </row>
    <row r="543" customFormat="false" ht="15" hidden="false" customHeight="false" outlineLevel="0" collapsed="false">
      <c r="A543" s="30" t="n">
        <v>46271.3402777778</v>
      </c>
      <c r="B543" s="31" t="s">
        <v>75</v>
      </c>
      <c r="C543" s="31"/>
      <c r="D543" s="31"/>
      <c r="E543" s="31"/>
      <c r="F543" s="26" t="n">
        <f aca="false">INT(A543-4/24)</f>
        <v>46271</v>
      </c>
    </row>
    <row r="544" customFormat="false" ht="15" hidden="false" customHeight="false" outlineLevel="0" collapsed="false">
      <c r="A544" s="30" t="n">
        <v>46271.3423611111</v>
      </c>
      <c r="B544" s="31" t="s">
        <v>77</v>
      </c>
      <c r="C544" s="31" t="n">
        <v>4</v>
      </c>
      <c r="D544" s="31"/>
      <c r="E544" s="31"/>
      <c r="F544" s="26" t="n">
        <f aca="false">INT(A544-4/24)</f>
        <v>46271</v>
      </c>
    </row>
    <row r="545" customFormat="false" ht="15" hidden="false" customHeight="false" outlineLevel="0" collapsed="false">
      <c r="A545" s="30" t="n">
        <v>46271.4583333333</v>
      </c>
      <c r="B545" s="31" t="s">
        <v>77</v>
      </c>
      <c r="C545" s="31" t="n">
        <v>4</v>
      </c>
      <c r="D545" s="31"/>
      <c r="E545" s="31"/>
      <c r="F545" s="26" t="n">
        <f aca="false">INT(A545-4/24)</f>
        <v>46271</v>
      </c>
    </row>
    <row r="546" customFormat="false" ht="15" hidden="false" customHeight="false" outlineLevel="0" collapsed="false">
      <c r="A546" s="30" t="n">
        <v>46271.5097222222</v>
      </c>
      <c r="B546" s="31" t="s">
        <v>80</v>
      </c>
      <c r="C546" s="31"/>
      <c r="D546" s="31"/>
      <c r="E546" s="31"/>
      <c r="F546" s="26" t="n">
        <f aca="false">INT(A546-4/24)</f>
        <v>46271</v>
      </c>
    </row>
    <row r="547" customFormat="false" ht="15" hidden="false" customHeight="false" outlineLevel="0" collapsed="false">
      <c r="A547" s="30" t="n">
        <v>46271.53125</v>
      </c>
      <c r="B547" s="31" t="s">
        <v>81</v>
      </c>
      <c r="C547" s="31"/>
      <c r="D547" s="31"/>
      <c r="E547" s="31"/>
      <c r="F547" s="26" t="n">
        <f aca="false">INT(A547-4/24)</f>
        <v>46271</v>
      </c>
    </row>
    <row r="548" customFormat="false" ht="15" hidden="false" customHeight="false" outlineLevel="0" collapsed="false">
      <c r="A548" s="30" t="n">
        <v>46271.5402777778</v>
      </c>
      <c r="B548" s="31" t="s">
        <v>74</v>
      </c>
      <c r="C548" s="31"/>
      <c r="D548" s="31" t="s">
        <v>82</v>
      </c>
      <c r="E548" s="31"/>
      <c r="F548" s="26" t="n">
        <f aca="false">INT(A548-4/24)</f>
        <v>46271</v>
      </c>
    </row>
    <row r="549" customFormat="false" ht="15" hidden="false" customHeight="false" outlineLevel="0" collapsed="false">
      <c r="A549" s="30" t="n">
        <v>46271.59375</v>
      </c>
      <c r="B549" s="31" t="s">
        <v>77</v>
      </c>
      <c r="C549" s="31" t="n">
        <v>4</v>
      </c>
      <c r="D549" s="31"/>
      <c r="E549" s="31"/>
      <c r="F549" s="26" t="n">
        <f aca="false">INT(A549-4/24)</f>
        <v>46271</v>
      </c>
    </row>
    <row r="550" customFormat="false" ht="15" hidden="false" customHeight="false" outlineLevel="0" collapsed="false">
      <c r="A550" s="30" t="n">
        <v>46271.6076388889</v>
      </c>
      <c r="B550" s="31" t="s">
        <v>80</v>
      </c>
      <c r="C550" s="31"/>
      <c r="D550" s="31"/>
      <c r="E550" s="31"/>
      <c r="F550" s="26" t="n">
        <f aca="false">INT(A550-4/24)</f>
        <v>46271</v>
      </c>
    </row>
    <row r="551" customFormat="false" ht="15" hidden="false" customHeight="false" outlineLevel="0" collapsed="false">
      <c r="A551" s="30" t="n">
        <v>46271.6916666667</v>
      </c>
      <c r="B551" s="31" t="s">
        <v>75</v>
      </c>
      <c r="C551" s="31"/>
      <c r="D551" s="31"/>
      <c r="E551" s="31"/>
      <c r="F551" s="26" t="n">
        <f aca="false">INT(A551-4/24)</f>
        <v>46271</v>
      </c>
    </row>
    <row r="552" customFormat="false" ht="15" hidden="false" customHeight="false" outlineLevel="0" collapsed="false">
      <c r="A552" s="30" t="n">
        <v>46271.7083333333</v>
      </c>
      <c r="B552" s="31" t="s">
        <v>81</v>
      </c>
      <c r="C552" s="31"/>
      <c r="D552" s="31"/>
      <c r="E552" s="31"/>
      <c r="F552" s="26" t="n">
        <f aca="false">INT(A552-4/24)</f>
        <v>46271</v>
      </c>
    </row>
    <row r="553" customFormat="false" ht="15" hidden="false" customHeight="false" outlineLevel="0" collapsed="false">
      <c r="A553" s="30" t="n">
        <v>46271.7222222222</v>
      </c>
      <c r="B553" s="31" t="s">
        <v>77</v>
      </c>
      <c r="C553" s="31" t="n">
        <v>4</v>
      </c>
      <c r="D553" s="31"/>
      <c r="E553" s="31"/>
      <c r="F553" s="26" t="n">
        <f aca="false">INT(A553-4/24)</f>
        <v>46271</v>
      </c>
    </row>
    <row r="554" customFormat="false" ht="15" hidden="false" customHeight="false" outlineLevel="0" collapsed="false">
      <c r="A554" s="30" t="n">
        <v>46271.7229166667</v>
      </c>
      <c r="B554" s="31" t="s">
        <v>74</v>
      </c>
      <c r="C554" s="31"/>
      <c r="D554" s="31" t="s">
        <v>82</v>
      </c>
      <c r="E554" s="31"/>
      <c r="F554" s="26" t="n">
        <f aca="false">INT(A554-4/24)</f>
        <v>46271</v>
      </c>
    </row>
    <row r="555" customFormat="false" ht="15" hidden="false" customHeight="false" outlineLevel="0" collapsed="false">
      <c r="A555" s="30" t="n">
        <v>46271.825</v>
      </c>
      <c r="B555" s="31" t="s">
        <v>77</v>
      </c>
      <c r="C555" s="31" t="n">
        <v>4</v>
      </c>
      <c r="D555" s="31"/>
      <c r="E555" s="31"/>
      <c r="F555" s="26" t="n">
        <f aca="false">INT(A555-4/24)</f>
        <v>46271</v>
      </c>
    </row>
    <row r="556" customFormat="false" ht="15" hidden="false" customHeight="false" outlineLevel="0" collapsed="false">
      <c r="A556" s="30" t="n">
        <v>46271.8333333333</v>
      </c>
      <c r="B556" s="31" t="s">
        <v>77</v>
      </c>
      <c r="C556" s="31" t="n">
        <v>4</v>
      </c>
      <c r="D556" s="31"/>
      <c r="E556" s="31"/>
      <c r="F556" s="26" t="n">
        <f aca="false">INT(A556-4/24)</f>
        <v>46271</v>
      </c>
    </row>
    <row r="557" customFormat="false" ht="15" hidden="false" customHeight="false" outlineLevel="0" collapsed="false">
      <c r="A557" s="30" t="n">
        <v>46271.8361111111</v>
      </c>
      <c r="B557" s="31" t="s">
        <v>80</v>
      </c>
      <c r="C557" s="31"/>
      <c r="D557" s="31"/>
      <c r="E557" s="31"/>
      <c r="F557" s="26" t="n">
        <f aca="false">INT(A557-4/24)</f>
        <v>46271</v>
      </c>
    </row>
    <row r="558" customFormat="false" ht="15" hidden="false" customHeight="false" outlineLevel="0" collapsed="false">
      <c r="A558" s="30" t="n">
        <v>46271.8493055556</v>
      </c>
      <c r="B558" s="31" t="s">
        <v>81</v>
      </c>
      <c r="C558" s="31"/>
      <c r="D558" s="31"/>
      <c r="E558" s="31"/>
      <c r="F558" s="26" t="n">
        <f aca="false">INT(A558-4/24)</f>
        <v>46271</v>
      </c>
    </row>
    <row r="559" customFormat="false" ht="15" hidden="false" customHeight="false" outlineLevel="0" collapsed="false">
      <c r="A559" s="30" t="n">
        <v>46271.875</v>
      </c>
      <c r="B559" s="31" t="s">
        <v>74</v>
      </c>
      <c r="C559" s="31"/>
      <c r="D559" s="31" t="s">
        <v>82</v>
      </c>
      <c r="E559" s="31"/>
      <c r="F559" s="26" t="n">
        <f aca="false">INT(A559-4/24)</f>
        <v>46271</v>
      </c>
    </row>
    <row r="560" customFormat="false" ht="15" hidden="false" customHeight="false" outlineLevel="0" collapsed="false">
      <c r="A560" s="30" t="n">
        <v>46271.9583333333</v>
      </c>
      <c r="B560" s="31" t="s">
        <v>74</v>
      </c>
      <c r="C560" s="31"/>
      <c r="D560" s="31" t="s">
        <v>82</v>
      </c>
      <c r="E560" s="31"/>
      <c r="F560" s="26" t="n">
        <f aca="false">INT(A560-4/24)</f>
        <v>46271</v>
      </c>
    </row>
    <row r="561" customFormat="false" ht="15" hidden="false" customHeight="false" outlineLevel="0" collapsed="false">
      <c r="A561" s="30" t="n">
        <v>46271.9631944444</v>
      </c>
      <c r="B561" s="31" t="s">
        <v>77</v>
      </c>
      <c r="C561" s="31" t="n">
        <v>4</v>
      </c>
      <c r="D561" s="31"/>
      <c r="E561" s="31"/>
      <c r="F561" s="26" t="n">
        <f aca="false">INT(A561-4/24)</f>
        <v>46271</v>
      </c>
    </row>
    <row r="562" customFormat="false" ht="15" hidden="false" customHeight="false" outlineLevel="0" collapsed="false">
      <c r="A562" s="30" t="n">
        <v>46272.0076388889</v>
      </c>
      <c r="B562" s="31" t="s">
        <v>75</v>
      </c>
      <c r="C562" s="31"/>
      <c r="D562" s="31"/>
      <c r="E562" s="31"/>
      <c r="F562" s="26" t="n">
        <f aca="false">INT(A562-4/24)</f>
        <v>46271</v>
      </c>
    </row>
    <row r="563" customFormat="false" ht="15" hidden="false" customHeight="false" outlineLevel="0" collapsed="false">
      <c r="A563" s="30" t="n">
        <v>46272.01875</v>
      </c>
      <c r="B563" s="31" t="s">
        <v>20</v>
      </c>
      <c r="C563" s="31"/>
      <c r="D563" s="31"/>
      <c r="E563" s="31"/>
      <c r="F563" s="26" t="n">
        <f aca="false">INT(A563-4/24)</f>
        <v>46271</v>
      </c>
    </row>
    <row r="564" customFormat="false" ht="15" hidden="false" customHeight="false" outlineLevel="0" collapsed="false">
      <c r="A564" s="30" t="n">
        <v>46272.375</v>
      </c>
      <c r="B564" s="31" t="s">
        <v>79</v>
      </c>
      <c r="C564" s="31"/>
      <c r="D564" s="31"/>
      <c r="E564" s="31"/>
      <c r="F564" s="26" t="n">
        <f aca="false">INT(A564-4/24)</f>
        <v>46272</v>
      </c>
    </row>
    <row r="565" customFormat="false" ht="15" hidden="false" customHeight="false" outlineLevel="0" collapsed="false">
      <c r="A565" s="30" t="n">
        <v>46272.3854166667</v>
      </c>
      <c r="B565" s="31" t="s">
        <v>74</v>
      </c>
      <c r="C565" s="31"/>
      <c r="D565" s="31" t="s">
        <v>82</v>
      </c>
      <c r="E565" s="31"/>
      <c r="F565" s="26" t="n">
        <f aca="false">INT(A565-4/24)</f>
        <v>46272</v>
      </c>
    </row>
    <row r="566" customFormat="false" ht="15" hidden="false" customHeight="false" outlineLevel="0" collapsed="false">
      <c r="A566" s="30" t="n">
        <v>46272.3888888889</v>
      </c>
      <c r="B566" s="31" t="s">
        <v>75</v>
      </c>
      <c r="C566" s="31"/>
      <c r="D566" s="31"/>
      <c r="E566" s="31"/>
      <c r="F566" s="26" t="n">
        <f aca="false">INT(A566-4/24)</f>
        <v>46272</v>
      </c>
    </row>
    <row r="567" customFormat="false" ht="15" hidden="false" customHeight="false" outlineLevel="0" collapsed="false">
      <c r="A567" s="30" t="n">
        <v>46272.3895833333</v>
      </c>
      <c r="B567" s="31" t="s">
        <v>77</v>
      </c>
      <c r="C567" s="31" t="n">
        <v>4</v>
      </c>
      <c r="D567" s="31"/>
      <c r="E567" s="31"/>
      <c r="F567" s="26" t="n">
        <f aca="false">INT(A567-4/24)</f>
        <v>46272</v>
      </c>
    </row>
    <row r="568" customFormat="false" ht="15" hidden="false" customHeight="false" outlineLevel="0" collapsed="false">
      <c r="A568" s="30" t="n">
        <v>46272.46875</v>
      </c>
      <c r="B568" s="31" t="s">
        <v>80</v>
      </c>
      <c r="C568" s="31"/>
      <c r="D568" s="31"/>
      <c r="E568" s="31"/>
      <c r="F568" s="26" t="n">
        <f aca="false">INT(A568-4/24)</f>
        <v>46272</v>
      </c>
    </row>
    <row r="569" customFormat="false" ht="15" hidden="false" customHeight="false" outlineLevel="0" collapsed="false">
      <c r="A569" s="30" t="n">
        <v>46272.4833333333</v>
      </c>
      <c r="B569" s="31" t="s">
        <v>81</v>
      </c>
      <c r="C569" s="31"/>
      <c r="D569" s="31"/>
      <c r="E569" s="31"/>
      <c r="F569" s="26" t="n">
        <f aca="false">INT(A569-4/24)</f>
        <v>46272</v>
      </c>
    </row>
    <row r="570" customFormat="false" ht="15" hidden="false" customHeight="false" outlineLevel="0" collapsed="false">
      <c r="A570" s="30" t="n">
        <v>46272.5</v>
      </c>
      <c r="B570" s="31" t="s">
        <v>77</v>
      </c>
      <c r="C570" s="31" t="n">
        <v>4</v>
      </c>
      <c r="D570" s="31"/>
      <c r="E570" s="31"/>
      <c r="F570" s="26" t="n">
        <f aca="false">INT(A570-4/24)</f>
        <v>46272</v>
      </c>
    </row>
    <row r="571" customFormat="false" ht="15" hidden="false" customHeight="false" outlineLevel="0" collapsed="false">
      <c r="A571" s="30" t="n">
        <v>46272.5208333333</v>
      </c>
      <c r="B571" s="31" t="s">
        <v>74</v>
      </c>
      <c r="C571" s="31"/>
      <c r="D571" s="31" t="s">
        <v>82</v>
      </c>
      <c r="E571" s="31"/>
      <c r="F571" s="26" t="n">
        <f aca="false">INT(A571-4/24)</f>
        <v>46272</v>
      </c>
    </row>
    <row r="572" customFormat="false" ht="15" hidden="false" customHeight="false" outlineLevel="0" collapsed="false">
      <c r="A572" s="30" t="n">
        <v>46272.625</v>
      </c>
      <c r="B572" s="31" t="s">
        <v>77</v>
      </c>
      <c r="C572" s="31" t="n">
        <v>4</v>
      </c>
      <c r="D572" s="31"/>
      <c r="E572" s="31"/>
      <c r="F572" s="26" t="n">
        <f aca="false">INT(A572-4/24)</f>
        <v>46272</v>
      </c>
    </row>
    <row r="573" customFormat="false" ht="15" hidden="false" customHeight="false" outlineLevel="0" collapsed="false">
      <c r="A573" s="30" t="n">
        <v>46272.6979166667</v>
      </c>
      <c r="B573" s="31" t="s">
        <v>74</v>
      </c>
      <c r="C573" s="31"/>
      <c r="D573" s="31" t="s">
        <v>84</v>
      </c>
      <c r="E573" s="31"/>
      <c r="F573" s="26" t="n">
        <f aca="false">INT(A573-4/24)</f>
        <v>46272</v>
      </c>
    </row>
    <row r="574" customFormat="false" ht="15" hidden="false" customHeight="false" outlineLevel="0" collapsed="false">
      <c r="A574" s="30" t="n">
        <v>46272.7125</v>
      </c>
      <c r="B574" s="31" t="s">
        <v>75</v>
      </c>
      <c r="C574" s="31"/>
      <c r="D574" s="31"/>
      <c r="E574" s="31"/>
      <c r="F574" s="26" t="n">
        <f aca="false">INT(A574-4/24)</f>
        <v>46272</v>
      </c>
    </row>
    <row r="575" customFormat="false" ht="15" hidden="false" customHeight="false" outlineLevel="0" collapsed="false">
      <c r="A575" s="30" t="n">
        <v>46272.7208333333</v>
      </c>
      <c r="B575" s="31" t="s">
        <v>80</v>
      </c>
      <c r="C575" s="31"/>
      <c r="D575" s="31"/>
      <c r="E575" s="31"/>
      <c r="F575" s="26" t="n">
        <f aca="false">INT(A575-4/24)</f>
        <v>46272</v>
      </c>
    </row>
    <row r="576" customFormat="false" ht="15" hidden="false" customHeight="false" outlineLevel="0" collapsed="false">
      <c r="A576" s="30" t="n">
        <v>46272.7277777778</v>
      </c>
      <c r="B576" s="31" t="s">
        <v>75</v>
      </c>
      <c r="C576" s="31"/>
      <c r="D576" s="31"/>
      <c r="E576" s="31"/>
      <c r="F576" s="26" t="n">
        <f aca="false">INT(A576-4/24)</f>
        <v>46272</v>
      </c>
    </row>
    <row r="577" customFormat="false" ht="15" hidden="false" customHeight="false" outlineLevel="0" collapsed="false">
      <c r="A577" s="30" t="n">
        <v>46272.7333333333</v>
      </c>
      <c r="B577" s="31" t="s">
        <v>81</v>
      </c>
      <c r="C577" s="31"/>
      <c r="D577" s="31"/>
      <c r="E577" s="31"/>
      <c r="F577" s="26" t="n">
        <f aca="false">INT(A577-4/24)</f>
        <v>46272</v>
      </c>
    </row>
    <row r="578" customFormat="false" ht="15" hidden="false" customHeight="false" outlineLevel="0" collapsed="false">
      <c r="A578" s="30" t="n">
        <v>46272.7395833333</v>
      </c>
      <c r="B578" s="31" t="s">
        <v>77</v>
      </c>
      <c r="C578" s="31" t="n">
        <v>4</v>
      </c>
      <c r="D578" s="31"/>
      <c r="E578" s="31"/>
      <c r="F578" s="26" t="n">
        <f aca="false">INT(A578-4/24)</f>
        <v>46272</v>
      </c>
    </row>
    <row r="579" customFormat="false" ht="15" hidden="false" customHeight="false" outlineLevel="0" collapsed="false">
      <c r="A579" s="30" t="n">
        <v>46272.75</v>
      </c>
      <c r="B579" s="31" t="s">
        <v>80</v>
      </c>
      <c r="C579" s="31"/>
      <c r="D579" s="31"/>
      <c r="E579" s="31"/>
      <c r="F579" s="26" t="n">
        <f aca="false">INT(A579-4/24)</f>
        <v>46272</v>
      </c>
    </row>
    <row r="580" customFormat="false" ht="15" hidden="false" customHeight="false" outlineLevel="0" collapsed="false">
      <c r="A580" s="30" t="n">
        <v>46272.8284722222</v>
      </c>
      <c r="B580" s="31" t="s">
        <v>81</v>
      </c>
      <c r="C580" s="31"/>
      <c r="D580" s="31"/>
      <c r="E580" s="31"/>
      <c r="F580" s="26" t="n">
        <f aca="false">INT(A580-4/24)</f>
        <v>46272</v>
      </c>
    </row>
    <row r="581" customFormat="false" ht="15" hidden="false" customHeight="false" outlineLevel="0" collapsed="false">
      <c r="A581" s="30" t="n">
        <v>46272.8680555556</v>
      </c>
      <c r="B581" s="31" t="s">
        <v>74</v>
      </c>
      <c r="C581" s="31"/>
      <c r="D581" s="31" t="s">
        <v>82</v>
      </c>
      <c r="E581" s="31"/>
      <c r="F581" s="26" t="n">
        <f aca="false">INT(A581-4/24)</f>
        <v>46272</v>
      </c>
    </row>
    <row r="582" customFormat="false" ht="15" hidden="false" customHeight="false" outlineLevel="0" collapsed="false">
      <c r="A582" s="30" t="n">
        <v>46272.8708333333</v>
      </c>
      <c r="B582" s="31" t="s">
        <v>77</v>
      </c>
      <c r="C582" s="31" t="n">
        <v>4</v>
      </c>
      <c r="D582" s="31"/>
      <c r="E582" s="31"/>
      <c r="F582" s="26" t="n">
        <f aca="false">INT(A582-4/24)</f>
        <v>46272</v>
      </c>
    </row>
    <row r="583" customFormat="false" ht="15" hidden="false" customHeight="false" outlineLevel="0" collapsed="false">
      <c r="A583" s="30" t="n">
        <v>46272.9895833333</v>
      </c>
      <c r="B583" s="31" t="s">
        <v>74</v>
      </c>
      <c r="C583" s="31"/>
      <c r="D583" s="31" t="s">
        <v>82</v>
      </c>
      <c r="E583" s="31"/>
      <c r="F583" s="26" t="n">
        <f aca="false">INT(A583-4/24)</f>
        <v>46272</v>
      </c>
    </row>
    <row r="584" customFormat="false" ht="15" hidden="false" customHeight="false" outlineLevel="0" collapsed="false">
      <c r="A584" s="30" t="n">
        <v>46272.9986111111</v>
      </c>
      <c r="B584" s="31" t="s">
        <v>77</v>
      </c>
      <c r="C584" s="31" t="n">
        <v>4</v>
      </c>
      <c r="D584" s="31"/>
      <c r="E584" s="31"/>
      <c r="F584" s="26" t="n">
        <f aca="false">INT(A584-4/24)</f>
        <v>46272</v>
      </c>
    </row>
    <row r="585" customFormat="false" ht="15" hidden="false" customHeight="false" outlineLevel="0" collapsed="false">
      <c r="A585" s="30" t="n">
        <v>46273</v>
      </c>
      <c r="B585" s="31" t="s">
        <v>75</v>
      </c>
      <c r="C585" s="31"/>
      <c r="D585" s="31"/>
      <c r="E585" s="31"/>
      <c r="F585" s="26" t="n">
        <f aca="false">INT(A585-4/24)</f>
        <v>46272</v>
      </c>
    </row>
    <row r="586" customFormat="false" ht="15" hidden="false" customHeight="false" outlineLevel="0" collapsed="false">
      <c r="A586" s="30" t="n">
        <v>46273.0069444445</v>
      </c>
      <c r="B586" s="31" t="s">
        <v>20</v>
      </c>
      <c r="C586" s="31"/>
      <c r="D586" s="31"/>
      <c r="E586" s="31"/>
      <c r="F586" s="26" t="n">
        <f aca="false">INT(A586-4/24)</f>
        <v>46272</v>
      </c>
    </row>
    <row r="587" customFormat="false" ht="15" hidden="false" customHeight="false" outlineLevel="0" collapsed="false">
      <c r="A587" s="30" t="n">
        <v>46273.3541666667</v>
      </c>
      <c r="B587" s="31" t="s">
        <v>79</v>
      </c>
      <c r="C587" s="31"/>
      <c r="D587" s="31"/>
      <c r="E587" s="31"/>
      <c r="F587" s="26" t="n">
        <f aca="false">INT(A587-4/24)</f>
        <v>46273</v>
      </c>
    </row>
    <row r="588" customFormat="false" ht="15" hidden="false" customHeight="false" outlineLevel="0" collapsed="false">
      <c r="A588" s="30" t="n">
        <v>46273.3680555556</v>
      </c>
      <c r="B588" s="31" t="s">
        <v>74</v>
      </c>
      <c r="C588" s="31"/>
      <c r="D588" s="31" t="s">
        <v>82</v>
      </c>
      <c r="E588" s="31"/>
      <c r="F588" s="26" t="n">
        <f aca="false">INT(A588-4/24)</f>
        <v>46273</v>
      </c>
    </row>
    <row r="589" customFormat="false" ht="15" hidden="false" customHeight="false" outlineLevel="0" collapsed="false">
      <c r="A589" s="30" t="n">
        <v>46273.3701388889</v>
      </c>
      <c r="B589" s="31" t="s">
        <v>75</v>
      </c>
      <c r="C589" s="31"/>
      <c r="D589" s="31"/>
      <c r="E589" s="31"/>
      <c r="F589" s="26" t="n">
        <f aca="false">INT(A589-4/24)</f>
        <v>46273</v>
      </c>
    </row>
    <row r="590" customFormat="false" ht="15" hidden="false" customHeight="false" outlineLevel="0" collapsed="false">
      <c r="A590" s="30" t="n">
        <v>46273.3708333333</v>
      </c>
      <c r="B590" s="31" t="s">
        <v>77</v>
      </c>
      <c r="C590" s="31" t="n">
        <v>4</v>
      </c>
      <c r="D590" s="31"/>
      <c r="E590" s="31"/>
      <c r="F590" s="26" t="n">
        <f aca="false">INT(A590-4/24)</f>
        <v>46273</v>
      </c>
    </row>
    <row r="591" customFormat="false" ht="15" hidden="false" customHeight="false" outlineLevel="0" collapsed="false">
      <c r="A591" s="30" t="n">
        <v>46273.4708333333</v>
      </c>
      <c r="B591" s="31" t="s">
        <v>74</v>
      </c>
      <c r="C591" s="31"/>
      <c r="D591" s="31" t="s">
        <v>82</v>
      </c>
      <c r="E591" s="31"/>
      <c r="F591" s="26" t="n">
        <f aca="false">INT(A591-4/24)</f>
        <v>46273</v>
      </c>
    </row>
    <row r="592" customFormat="false" ht="15" hidden="false" customHeight="false" outlineLevel="0" collapsed="false">
      <c r="A592" s="30" t="n">
        <v>46273.4763888889</v>
      </c>
      <c r="B592" s="31" t="s">
        <v>77</v>
      </c>
      <c r="C592" s="31" t="n">
        <v>4</v>
      </c>
      <c r="D592" s="31"/>
      <c r="E592" s="31"/>
      <c r="F592" s="26" t="n">
        <f aca="false">INT(A592-4/24)</f>
        <v>46273</v>
      </c>
    </row>
    <row r="593" customFormat="false" ht="15" hidden="false" customHeight="false" outlineLevel="0" collapsed="false">
      <c r="A593" s="30" t="n">
        <v>46273.5416666667</v>
      </c>
      <c r="B593" s="31" t="s">
        <v>74</v>
      </c>
      <c r="C593" s="31"/>
      <c r="D593" s="31" t="s">
        <v>82</v>
      </c>
      <c r="E593" s="31"/>
      <c r="F593" s="26" t="n">
        <f aca="false">INT(A593-4/24)</f>
        <v>46273</v>
      </c>
    </row>
    <row r="594" customFormat="false" ht="15" hidden="false" customHeight="false" outlineLevel="0" collapsed="false">
      <c r="A594" s="30" t="n">
        <v>46273.6131944444</v>
      </c>
      <c r="B594" s="31" t="s">
        <v>77</v>
      </c>
      <c r="C594" s="31" t="n">
        <v>4</v>
      </c>
      <c r="D594" s="31"/>
      <c r="E594" s="31"/>
      <c r="F594" s="26" t="n">
        <f aca="false">INT(A594-4/24)</f>
        <v>46273</v>
      </c>
    </row>
    <row r="595" customFormat="false" ht="15" hidden="false" customHeight="false" outlineLevel="0" collapsed="false">
      <c r="A595" s="30" t="n">
        <v>46273.6777777778</v>
      </c>
      <c r="B595" s="31" t="s">
        <v>77</v>
      </c>
      <c r="C595" s="31" t="n">
        <v>4</v>
      </c>
      <c r="D595" s="31"/>
      <c r="E595" s="31"/>
      <c r="F595" s="26" t="n">
        <f aca="false">INT(A595-4/24)</f>
        <v>46273</v>
      </c>
    </row>
    <row r="596" customFormat="false" ht="15" hidden="false" customHeight="false" outlineLevel="0" collapsed="false">
      <c r="A596" s="30" t="n">
        <v>46273.7291666667</v>
      </c>
      <c r="B596" s="31" t="s">
        <v>80</v>
      </c>
      <c r="C596" s="31"/>
      <c r="D596" s="31"/>
      <c r="E596" s="31"/>
      <c r="F596" s="26" t="n">
        <f aca="false">INT(A596-4/24)</f>
        <v>46273</v>
      </c>
    </row>
    <row r="597" customFormat="false" ht="15" hidden="false" customHeight="false" outlineLevel="0" collapsed="false">
      <c r="A597" s="30" t="n">
        <v>46273.7361111111</v>
      </c>
      <c r="B597" s="31" t="s">
        <v>77</v>
      </c>
      <c r="C597" s="31" t="n">
        <v>4</v>
      </c>
      <c r="D597" s="31"/>
      <c r="E597" s="31"/>
      <c r="F597" s="26" t="n">
        <f aca="false">INT(A597-4/24)</f>
        <v>46273</v>
      </c>
    </row>
    <row r="598" customFormat="false" ht="15" hidden="false" customHeight="false" outlineLevel="0" collapsed="false">
      <c r="A598" s="30" t="n">
        <v>46273.7534722222</v>
      </c>
      <c r="B598" s="31" t="s">
        <v>81</v>
      </c>
      <c r="C598" s="31"/>
      <c r="D598" s="31"/>
      <c r="E598" s="31"/>
      <c r="F598" s="26" t="n">
        <f aca="false">INT(A598-4/24)</f>
        <v>46273</v>
      </c>
    </row>
    <row r="599" customFormat="false" ht="15" hidden="false" customHeight="false" outlineLevel="0" collapsed="false">
      <c r="A599" s="30" t="n">
        <v>46273.7666666667</v>
      </c>
      <c r="B599" s="31" t="s">
        <v>74</v>
      </c>
      <c r="C599" s="31"/>
      <c r="D599" s="31" t="s">
        <v>82</v>
      </c>
      <c r="E599" s="31"/>
      <c r="F599" s="26" t="n">
        <f aca="false">INT(A599-4/24)</f>
        <v>46273</v>
      </c>
    </row>
    <row r="600" customFormat="false" ht="15" hidden="false" customHeight="false" outlineLevel="0" collapsed="false">
      <c r="A600" s="30" t="n">
        <v>46273.8333333333</v>
      </c>
      <c r="B600" s="31" t="s">
        <v>74</v>
      </c>
      <c r="C600" s="31"/>
      <c r="D600" s="31" t="s">
        <v>84</v>
      </c>
      <c r="E600" s="31"/>
      <c r="F600" s="26" t="n">
        <f aca="false">INT(A600-4/24)</f>
        <v>46273</v>
      </c>
    </row>
    <row r="601" customFormat="false" ht="15" hidden="false" customHeight="false" outlineLevel="0" collapsed="false">
      <c r="A601" s="30" t="n">
        <v>46273.8583333333</v>
      </c>
      <c r="B601" s="31" t="s">
        <v>77</v>
      </c>
      <c r="C601" s="31" t="n">
        <v>4</v>
      </c>
      <c r="D601" s="31"/>
      <c r="E601" s="31"/>
      <c r="F601" s="26" t="n">
        <f aca="false">INT(A601-4/24)</f>
        <v>46273</v>
      </c>
    </row>
    <row r="602" customFormat="false" ht="15" hidden="false" customHeight="false" outlineLevel="0" collapsed="false">
      <c r="A602" s="30" t="n">
        <v>46273.8680555556</v>
      </c>
      <c r="B602" s="31" t="s">
        <v>74</v>
      </c>
      <c r="C602" s="31"/>
      <c r="D602" s="31" t="s">
        <v>82</v>
      </c>
      <c r="E602" s="31"/>
      <c r="F602" s="26" t="n">
        <f aca="false">INT(A602-4/24)</f>
        <v>46273</v>
      </c>
    </row>
    <row r="603" customFormat="false" ht="15" hidden="false" customHeight="false" outlineLevel="0" collapsed="false">
      <c r="A603" s="30" t="n">
        <v>46273.9805555556</v>
      </c>
      <c r="B603" s="31" t="s">
        <v>74</v>
      </c>
      <c r="C603" s="31"/>
      <c r="D603" s="31" t="s">
        <v>82</v>
      </c>
      <c r="E603" s="31"/>
      <c r="F603" s="26" t="n">
        <f aca="false">INT(A603-4/24)</f>
        <v>46273</v>
      </c>
    </row>
    <row r="604" customFormat="false" ht="15" hidden="false" customHeight="false" outlineLevel="0" collapsed="false">
      <c r="A604" s="30" t="n">
        <v>46273.9819444444</v>
      </c>
      <c r="B604" s="31" t="s">
        <v>77</v>
      </c>
      <c r="C604" s="31" t="n">
        <v>4</v>
      </c>
      <c r="D604" s="31"/>
      <c r="E604" s="31"/>
      <c r="F604" s="26" t="n">
        <f aca="false">INT(A604-4/24)</f>
        <v>46273</v>
      </c>
    </row>
    <row r="605" customFormat="false" ht="15" hidden="false" customHeight="false" outlineLevel="0" collapsed="false">
      <c r="A605" s="30" t="n">
        <v>46274.0020833333</v>
      </c>
      <c r="B605" s="31" t="s">
        <v>75</v>
      </c>
      <c r="C605" s="31"/>
      <c r="D605" s="31"/>
      <c r="E605" s="31"/>
      <c r="F605" s="26" t="n">
        <f aca="false">INT(A605-4/24)</f>
        <v>46273</v>
      </c>
    </row>
    <row r="606" customFormat="false" ht="15" hidden="false" customHeight="false" outlineLevel="0" collapsed="false">
      <c r="A606" s="30" t="n">
        <v>46274.0104166667</v>
      </c>
      <c r="B606" s="31" t="s">
        <v>20</v>
      </c>
      <c r="C606" s="31"/>
      <c r="D606" s="31"/>
      <c r="E606" s="31"/>
      <c r="F606" s="26" t="n">
        <f aca="false">INT(A606-4/24)</f>
        <v>46273</v>
      </c>
    </row>
    <row r="607" customFormat="false" ht="15" hidden="false" customHeight="false" outlineLevel="0" collapsed="false">
      <c r="A607" s="30" t="n">
        <v>46274.3715277778</v>
      </c>
      <c r="B607" s="31" t="s">
        <v>79</v>
      </c>
      <c r="C607" s="31"/>
      <c r="D607" s="31"/>
      <c r="E607" s="31"/>
      <c r="F607" s="26" t="n">
        <f aca="false">INT(A607-4/24)</f>
        <v>46274</v>
      </c>
    </row>
    <row r="608" customFormat="false" ht="15" hidden="false" customHeight="false" outlineLevel="0" collapsed="false">
      <c r="A608" s="30" t="n">
        <v>46274.3784722222</v>
      </c>
      <c r="B608" s="31" t="s">
        <v>74</v>
      </c>
      <c r="C608" s="31"/>
      <c r="D608" s="31" t="s">
        <v>82</v>
      </c>
      <c r="E608" s="31"/>
      <c r="F608" s="26" t="n">
        <f aca="false">INT(A608-4/24)</f>
        <v>46274</v>
      </c>
    </row>
    <row r="609" customFormat="false" ht="15" hidden="false" customHeight="false" outlineLevel="0" collapsed="false">
      <c r="A609" s="30" t="n">
        <v>46274.3784722222</v>
      </c>
      <c r="B609" s="31" t="s">
        <v>75</v>
      </c>
      <c r="C609" s="31"/>
      <c r="D609" s="31"/>
      <c r="E609" s="31"/>
      <c r="F609" s="26" t="n">
        <f aca="false">INT(A609-4/24)</f>
        <v>46274</v>
      </c>
    </row>
    <row r="610" customFormat="false" ht="15" hidden="false" customHeight="false" outlineLevel="0" collapsed="false">
      <c r="A610" s="30" t="n">
        <v>46274.3784722222</v>
      </c>
      <c r="B610" s="31" t="s">
        <v>77</v>
      </c>
      <c r="C610" s="31" t="n">
        <v>4</v>
      </c>
      <c r="D610" s="31"/>
      <c r="E610" s="31"/>
      <c r="F610" s="26" t="n">
        <f aca="false">INT(A610-4/24)</f>
        <v>46274</v>
      </c>
    </row>
    <row r="611" customFormat="false" ht="15" hidden="false" customHeight="false" outlineLevel="0" collapsed="false">
      <c r="A611" s="30" t="n">
        <v>46274.4826388889</v>
      </c>
      <c r="B611" s="31" t="s">
        <v>74</v>
      </c>
      <c r="C611" s="31"/>
      <c r="D611" s="31" t="s">
        <v>84</v>
      </c>
      <c r="E611" s="31"/>
      <c r="F611" s="26" t="n">
        <f aca="false">INT(A611-4/24)</f>
        <v>46274</v>
      </c>
    </row>
    <row r="612" customFormat="false" ht="15" hidden="false" customHeight="false" outlineLevel="0" collapsed="false">
      <c r="A612" s="30" t="n">
        <v>46274.4993055556</v>
      </c>
      <c r="B612" s="31" t="s">
        <v>77</v>
      </c>
      <c r="C612" s="31" t="n">
        <v>4</v>
      </c>
      <c r="D612" s="31"/>
      <c r="E612" s="31"/>
      <c r="F612" s="26" t="n">
        <f aca="false">INT(A612-4/24)</f>
        <v>46274</v>
      </c>
    </row>
    <row r="613" customFormat="false" ht="15" hidden="false" customHeight="false" outlineLevel="0" collapsed="false">
      <c r="A613" s="30" t="n">
        <v>46274.5055555556</v>
      </c>
      <c r="B613" s="31" t="s">
        <v>80</v>
      </c>
      <c r="C613" s="31"/>
      <c r="D613" s="31"/>
      <c r="E613" s="31"/>
      <c r="F613" s="26" t="n">
        <f aca="false">INT(A613-4/24)</f>
        <v>46274</v>
      </c>
    </row>
    <row r="614" customFormat="false" ht="15" hidden="false" customHeight="false" outlineLevel="0" collapsed="false">
      <c r="A614" s="30" t="n">
        <v>46274.53125</v>
      </c>
      <c r="B614" s="31" t="s">
        <v>81</v>
      </c>
      <c r="C614" s="31"/>
      <c r="D614" s="31"/>
      <c r="E614" s="31"/>
      <c r="F614" s="26" t="n">
        <f aca="false">INT(A614-4/24)</f>
        <v>46274</v>
      </c>
    </row>
    <row r="615" customFormat="false" ht="15" hidden="false" customHeight="false" outlineLevel="0" collapsed="false">
      <c r="A615" s="30" t="n">
        <v>46274.6083333333</v>
      </c>
      <c r="B615" s="31" t="s">
        <v>77</v>
      </c>
      <c r="C615" s="31" t="n">
        <v>4</v>
      </c>
      <c r="D615" s="31"/>
      <c r="E615" s="31"/>
      <c r="F615" s="26" t="n">
        <f aca="false">INT(A615-4/24)</f>
        <v>46274</v>
      </c>
    </row>
    <row r="616" customFormat="false" ht="15" hidden="false" customHeight="false" outlineLevel="0" collapsed="false">
      <c r="A616" s="30" t="n">
        <v>46274.6840277778</v>
      </c>
      <c r="B616" s="31" t="s">
        <v>80</v>
      </c>
      <c r="C616" s="31"/>
      <c r="D616" s="31"/>
      <c r="E616" s="31"/>
      <c r="F616" s="26" t="n">
        <f aca="false">INT(A616-4/24)</f>
        <v>46274</v>
      </c>
    </row>
    <row r="617" customFormat="false" ht="15" hidden="false" customHeight="false" outlineLevel="0" collapsed="false">
      <c r="A617" s="30" t="n">
        <v>46274.7076388889</v>
      </c>
      <c r="B617" s="31" t="s">
        <v>81</v>
      </c>
      <c r="C617" s="31"/>
      <c r="D617" s="31"/>
      <c r="E617" s="31"/>
      <c r="F617" s="26" t="n">
        <f aca="false">INT(A617-4/24)</f>
        <v>46274</v>
      </c>
    </row>
    <row r="618" customFormat="false" ht="15" hidden="false" customHeight="false" outlineLevel="0" collapsed="false">
      <c r="A618" s="30" t="n">
        <v>46274.7138888889</v>
      </c>
      <c r="B618" s="31" t="s">
        <v>75</v>
      </c>
      <c r="C618" s="31"/>
      <c r="D618" s="31"/>
      <c r="E618" s="31"/>
      <c r="F618" s="26" t="n">
        <f aca="false">INT(A618-4/24)</f>
        <v>46274</v>
      </c>
    </row>
    <row r="619" customFormat="false" ht="15" hidden="false" customHeight="false" outlineLevel="0" collapsed="false">
      <c r="A619" s="30" t="n">
        <v>46274.71875</v>
      </c>
      <c r="B619" s="31" t="s">
        <v>74</v>
      </c>
      <c r="C619" s="31"/>
      <c r="D619" s="31" t="s">
        <v>82</v>
      </c>
      <c r="E619" s="31"/>
      <c r="F619" s="26" t="n">
        <f aca="false">INT(A619-4/24)</f>
        <v>46274</v>
      </c>
    </row>
    <row r="620" customFormat="false" ht="15" hidden="false" customHeight="false" outlineLevel="0" collapsed="false">
      <c r="A620" s="30" t="n">
        <v>46274.7381944444</v>
      </c>
      <c r="B620" s="31" t="s">
        <v>77</v>
      </c>
      <c r="C620" s="31" t="n">
        <v>4</v>
      </c>
      <c r="D620" s="31"/>
      <c r="E620" s="31"/>
      <c r="F620" s="26" t="n">
        <f aca="false">INT(A620-4/24)</f>
        <v>46274</v>
      </c>
    </row>
    <row r="621" customFormat="false" ht="15" hidden="false" customHeight="false" outlineLevel="0" collapsed="false">
      <c r="A621" s="30" t="n">
        <v>46274.8034722222</v>
      </c>
      <c r="B621" s="31" t="s">
        <v>74</v>
      </c>
      <c r="C621" s="31"/>
      <c r="D621" s="31" t="s">
        <v>84</v>
      </c>
      <c r="E621" s="31"/>
      <c r="F621" s="26" t="n">
        <f aca="false">INT(A621-4/24)</f>
        <v>46274</v>
      </c>
    </row>
    <row r="622" customFormat="false" ht="15" hidden="false" customHeight="false" outlineLevel="0" collapsed="false">
      <c r="A622" s="30" t="n">
        <v>46274.8263888889</v>
      </c>
      <c r="B622" s="31" t="s">
        <v>80</v>
      </c>
      <c r="C622" s="31"/>
      <c r="D622" s="31"/>
      <c r="E622" s="31"/>
      <c r="F622" s="26" t="n">
        <f aca="false">INT(A622-4/24)</f>
        <v>46274</v>
      </c>
    </row>
    <row r="623" customFormat="false" ht="15" hidden="false" customHeight="false" outlineLevel="0" collapsed="false">
      <c r="A623" s="30" t="n">
        <v>46274.8673611111</v>
      </c>
      <c r="B623" s="31" t="s">
        <v>81</v>
      </c>
      <c r="C623" s="31"/>
      <c r="D623" s="31"/>
      <c r="E623" s="31"/>
      <c r="F623" s="26" t="n">
        <f aca="false">INT(A623-4/24)</f>
        <v>46274</v>
      </c>
    </row>
    <row r="624" customFormat="false" ht="15" hidden="false" customHeight="false" outlineLevel="0" collapsed="false">
      <c r="A624" s="30" t="n">
        <v>46274.8680555556</v>
      </c>
      <c r="B624" s="31" t="s">
        <v>77</v>
      </c>
      <c r="C624" s="31" t="n">
        <v>5</v>
      </c>
      <c r="D624" s="31"/>
      <c r="E624" s="31"/>
      <c r="F624" s="26" t="n">
        <f aca="false">INT(A624-4/24)</f>
        <v>46274</v>
      </c>
    </row>
    <row r="625" customFormat="false" ht="15" hidden="false" customHeight="false" outlineLevel="0" collapsed="false">
      <c r="A625" s="30" t="n">
        <v>46274.9298611111</v>
      </c>
      <c r="B625" s="31" t="s">
        <v>74</v>
      </c>
      <c r="C625" s="31"/>
      <c r="D625" s="31" t="s">
        <v>82</v>
      </c>
      <c r="E625" s="31"/>
      <c r="F625" s="26" t="n">
        <f aca="false">INT(A625-4/24)</f>
        <v>46274</v>
      </c>
    </row>
    <row r="626" customFormat="false" ht="15" hidden="false" customHeight="false" outlineLevel="0" collapsed="false">
      <c r="A626" s="30" t="n">
        <v>46274.9923611111</v>
      </c>
      <c r="B626" s="31" t="s">
        <v>74</v>
      </c>
      <c r="C626" s="31"/>
      <c r="D626" s="31" t="s">
        <v>84</v>
      </c>
      <c r="E626" s="31"/>
      <c r="F626" s="26" t="n">
        <f aca="false">INT(A626-4/24)</f>
        <v>46274</v>
      </c>
    </row>
    <row r="627" customFormat="false" ht="15" hidden="false" customHeight="false" outlineLevel="0" collapsed="false">
      <c r="A627" s="30" t="n">
        <v>46275.0027777778</v>
      </c>
      <c r="B627" s="31" t="s">
        <v>75</v>
      </c>
      <c r="C627" s="31"/>
      <c r="D627" s="31"/>
      <c r="E627" s="31"/>
      <c r="F627" s="26" t="n">
        <f aca="false">INT(A627-4/24)</f>
        <v>46274</v>
      </c>
    </row>
    <row r="628" customFormat="false" ht="15" hidden="false" customHeight="false" outlineLevel="0" collapsed="false">
      <c r="A628" s="30" t="n">
        <v>46275.0027777778</v>
      </c>
      <c r="B628" s="31" t="s">
        <v>77</v>
      </c>
      <c r="C628" s="31" t="n">
        <v>5</v>
      </c>
      <c r="D628" s="31"/>
      <c r="E628" s="31"/>
      <c r="F628" s="26" t="n">
        <f aca="false">INT(A628-4/24)</f>
        <v>46274</v>
      </c>
    </row>
    <row r="629" customFormat="false" ht="15" hidden="false" customHeight="false" outlineLevel="0" collapsed="false">
      <c r="A629" s="30" t="n">
        <v>46275.0104166667</v>
      </c>
      <c r="B629" s="31" t="s">
        <v>80</v>
      </c>
      <c r="C629" s="31"/>
      <c r="D629" s="31"/>
      <c r="E629" s="31"/>
      <c r="F629" s="26" t="n">
        <f aca="false">INT(A629-4/24)</f>
        <v>46274</v>
      </c>
    </row>
    <row r="630" customFormat="false" ht="15" hidden="false" customHeight="false" outlineLevel="0" collapsed="false">
      <c r="A630" s="30" t="n">
        <v>46275.0472222222</v>
      </c>
      <c r="B630" s="31" t="s">
        <v>81</v>
      </c>
      <c r="C630" s="31"/>
      <c r="D630" s="31"/>
      <c r="E630" s="31"/>
      <c r="F630" s="26" t="n">
        <f aca="false">INT(A630-4/24)</f>
        <v>46274</v>
      </c>
    </row>
    <row r="631" customFormat="false" ht="15" hidden="false" customHeight="false" outlineLevel="0" collapsed="false">
      <c r="A631" s="30" t="n">
        <v>46275.0472222222</v>
      </c>
      <c r="B631" s="31" t="s">
        <v>20</v>
      </c>
      <c r="C631" s="31"/>
      <c r="D631" s="31"/>
      <c r="E631" s="31"/>
      <c r="F631" s="26" t="n">
        <f aca="false">INT(A631-4/24)</f>
        <v>46274</v>
      </c>
    </row>
    <row r="632" customFormat="false" ht="15" hidden="false" customHeight="false" outlineLevel="0" collapsed="false">
      <c r="A632" s="30" t="n">
        <v>46275.3333333333</v>
      </c>
      <c r="B632" s="31" t="s">
        <v>79</v>
      </c>
      <c r="C632" s="31"/>
      <c r="D632" s="31"/>
      <c r="E632" s="31"/>
      <c r="F632" s="26" t="n">
        <f aca="false">INT(A632-4/24)</f>
        <v>46275</v>
      </c>
    </row>
    <row r="633" customFormat="false" ht="15" hidden="false" customHeight="false" outlineLevel="0" collapsed="false">
      <c r="A633" s="30" t="n">
        <v>46275.3333333333</v>
      </c>
      <c r="B633" s="31" t="s">
        <v>74</v>
      </c>
      <c r="C633" s="31"/>
      <c r="D633" s="31" t="s">
        <v>82</v>
      </c>
      <c r="E633" s="31"/>
      <c r="F633" s="26" t="n">
        <f aca="false">INT(A633-4/24)</f>
        <v>46275</v>
      </c>
    </row>
    <row r="634" customFormat="false" ht="15" hidden="false" customHeight="false" outlineLevel="0" collapsed="false">
      <c r="A634" s="30" t="n">
        <v>46275.3333333333</v>
      </c>
      <c r="B634" s="31" t="s">
        <v>75</v>
      </c>
      <c r="C634" s="31"/>
      <c r="D634" s="31"/>
      <c r="E634" s="31"/>
      <c r="F634" s="26" t="n">
        <f aca="false">INT(A634-4/24)</f>
        <v>46275</v>
      </c>
    </row>
    <row r="635" customFormat="false" ht="15" hidden="false" customHeight="false" outlineLevel="0" collapsed="false">
      <c r="A635" s="30" t="n">
        <v>46275.3333333333</v>
      </c>
      <c r="B635" s="31" t="s">
        <v>77</v>
      </c>
      <c r="C635" s="31" t="n">
        <v>5</v>
      </c>
      <c r="D635" s="31"/>
      <c r="E635" s="31"/>
      <c r="F635" s="26" t="n">
        <f aca="false">INT(A635-4/24)</f>
        <v>46275</v>
      </c>
    </row>
    <row r="636" customFormat="false" ht="15" hidden="false" customHeight="false" outlineLevel="0" collapsed="false">
      <c r="A636" s="30" t="n">
        <v>46275.3493055556</v>
      </c>
      <c r="B636" s="31" t="s">
        <v>80</v>
      </c>
      <c r="C636" s="31"/>
      <c r="D636" s="31"/>
      <c r="E636" s="31"/>
      <c r="F636" s="26" t="n">
        <f aca="false">INT(A636-4/24)</f>
        <v>46275</v>
      </c>
    </row>
    <row r="637" customFormat="false" ht="15" hidden="false" customHeight="false" outlineLevel="0" collapsed="false">
      <c r="A637" s="30" t="n">
        <v>46275.375</v>
      </c>
      <c r="B637" s="31" t="s">
        <v>81</v>
      </c>
      <c r="C637" s="31"/>
      <c r="D637" s="31"/>
      <c r="E637" s="31"/>
      <c r="F637" s="26" t="n">
        <f aca="false">INT(A637-4/24)</f>
        <v>46275</v>
      </c>
    </row>
    <row r="638" customFormat="false" ht="15" hidden="false" customHeight="false" outlineLevel="0" collapsed="false">
      <c r="A638" s="30" t="n">
        <v>46275.4444444445</v>
      </c>
      <c r="B638" s="31" t="s">
        <v>74</v>
      </c>
      <c r="C638" s="31"/>
      <c r="D638" s="31" t="s">
        <v>82</v>
      </c>
      <c r="E638" s="31"/>
      <c r="F638" s="26" t="n">
        <f aca="false">INT(A638-4/24)</f>
        <v>46275</v>
      </c>
    </row>
    <row r="639" customFormat="false" ht="15" hidden="false" customHeight="false" outlineLevel="0" collapsed="false">
      <c r="A639" s="30" t="n">
        <v>46275.4520833333</v>
      </c>
      <c r="B639" s="31" t="s">
        <v>77</v>
      </c>
      <c r="C639" s="31" t="n">
        <v>5</v>
      </c>
      <c r="D639" s="31"/>
      <c r="E639" s="31"/>
      <c r="F639" s="26" t="n">
        <f aca="false">INT(A639-4/24)</f>
        <v>46275</v>
      </c>
    </row>
    <row r="640" customFormat="false" ht="15" hidden="false" customHeight="false" outlineLevel="0" collapsed="false">
      <c r="A640" s="30" t="n">
        <v>46275.46875</v>
      </c>
      <c r="B640" s="31" t="s">
        <v>80</v>
      </c>
      <c r="C640" s="31"/>
      <c r="D640" s="31"/>
      <c r="E640" s="31"/>
      <c r="F640" s="26" t="n">
        <f aca="false">INT(A640-4/24)</f>
        <v>46275</v>
      </c>
    </row>
    <row r="641" customFormat="false" ht="15" hidden="false" customHeight="false" outlineLevel="0" collapsed="false">
      <c r="A641" s="30" t="n">
        <v>46275.4798611111</v>
      </c>
      <c r="B641" s="31" t="s">
        <v>81</v>
      </c>
      <c r="C641" s="31"/>
      <c r="D641" s="31"/>
      <c r="E641" s="31"/>
      <c r="F641" s="26" t="n">
        <f aca="false">INT(A641-4/24)</f>
        <v>46275</v>
      </c>
    </row>
    <row r="642" customFormat="false" ht="15" hidden="false" customHeight="false" outlineLevel="0" collapsed="false">
      <c r="A642" s="30" t="n">
        <v>46275.5069444445</v>
      </c>
      <c r="B642" s="31" t="s">
        <v>74</v>
      </c>
      <c r="C642" s="31"/>
      <c r="D642" s="31" t="s">
        <v>84</v>
      </c>
      <c r="E642" s="31"/>
      <c r="F642" s="26" t="n">
        <f aca="false">INT(A642-4/24)</f>
        <v>46275</v>
      </c>
    </row>
    <row r="643" customFormat="false" ht="15" hidden="false" customHeight="false" outlineLevel="0" collapsed="false">
      <c r="A643" s="30" t="n">
        <v>46275.5673611111</v>
      </c>
      <c r="B643" s="31" t="s">
        <v>77</v>
      </c>
      <c r="C643" s="31" t="n">
        <v>5</v>
      </c>
      <c r="D643" s="31"/>
      <c r="E643" s="31"/>
      <c r="F643" s="26" t="n">
        <f aca="false">INT(A643-4/24)</f>
        <v>46275</v>
      </c>
    </row>
    <row r="644" customFormat="false" ht="15" hidden="false" customHeight="false" outlineLevel="0" collapsed="false">
      <c r="A644" s="30" t="n">
        <v>46275.5729166667</v>
      </c>
      <c r="B644" s="31" t="s">
        <v>80</v>
      </c>
      <c r="C644" s="31"/>
      <c r="D644" s="31"/>
      <c r="E644" s="31"/>
      <c r="F644" s="26" t="n">
        <f aca="false">INT(A644-4/24)</f>
        <v>46275</v>
      </c>
    </row>
    <row r="645" customFormat="false" ht="15" hidden="false" customHeight="false" outlineLevel="0" collapsed="false">
      <c r="A645" s="30" t="n">
        <v>46275.6236111111</v>
      </c>
      <c r="B645" s="31" t="s">
        <v>81</v>
      </c>
      <c r="C645" s="31"/>
      <c r="D645" s="31"/>
      <c r="E645" s="31"/>
      <c r="F645" s="26" t="n">
        <f aca="false">INT(A645-4/24)</f>
        <v>46275</v>
      </c>
    </row>
    <row r="646" customFormat="false" ht="15" hidden="false" customHeight="false" outlineLevel="0" collapsed="false">
      <c r="A646" s="30" t="n">
        <v>46275.6402777778</v>
      </c>
      <c r="B646" s="31" t="s">
        <v>80</v>
      </c>
      <c r="C646" s="31"/>
      <c r="D646" s="31"/>
      <c r="E646" s="31"/>
      <c r="F646" s="26" t="n">
        <f aca="false">INT(A646-4/24)</f>
        <v>46275</v>
      </c>
    </row>
    <row r="647" customFormat="false" ht="15" hidden="false" customHeight="false" outlineLevel="0" collapsed="false">
      <c r="A647" s="30" t="n">
        <v>46275.6916666667</v>
      </c>
      <c r="B647" s="31" t="s">
        <v>81</v>
      </c>
      <c r="C647" s="31"/>
      <c r="D647" s="31"/>
      <c r="E647" s="31"/>
      <c r="F647" s="26" t="n">
        <f aca="false">INT(A647-4/24)</f>
        <v>46275</v>
      </c>
    </row>
    <row r="648" customFormat="false" ht="15" hidden="false" customHeight="false" outlineLevel="0" collapsed="false">
      <c r="A648" s="30" t="n">
        <v>46275.6923611111</v>
      </c>
      <c r="B648" s="31" t="s">
        <v>75</v>
      </c>
      <c r="C648" s="31"/>
      <c r="D648" s="31"/>
      <c r="E648" s="31"/>
      <c r="F648" s="26" t="n">
        <f aca="false">INT(A648-4/24)</f>
        <v>46275</v>
      </c>
    </row>
    <row r="649" customFormat="false" ht="15" hidden="false" customHeight="false" outlineLevel="0" collapsed="false">
      <c r="A649" s="30" t="n">
        <v>46275.7</v>
      </c>
      <c r="B649" s="31" t="s">
        <v>74</v>
      </c>
      <c r="C649" s="31"/>
      <c r="D649" s="31" t="s">
        <v>82</v>
      </c>
      <c r="E649" s="31"/>
      <c r="F649" s="26" t="n">
        <f aca="false">INT(A649-4/24)</f>
        <v>46275</v>
      </c>
    </row>
    <row r="650" customFormat="false" ht="15" hidden="false" customHeight="false" outlineLevel="0" collapsed="false">
      <c r="A650" s="30" t="n">
        <v>46275.7</v>
      </c>
      <c r="B650" s="31" t="s">
        <v>77</v>
      </c>
      <c r="C650" s="31" t="n">
        <v>5</v>
      </c>
      <c r="D650" s="31"/>
      <c r="E650" s="31"/>
      <c r="F650" s="26" t="n">
        <f aca="false">INT(A650-4/24)</f>
        <v>46275</v>
      </c>
    </row>
    <row r="651" customFormat="false" ht="15" hidden="false" customHeight="false" outlineLevel="0" collapsed="false">
      <c r="A651" s="30" t="n">
        <v>46275.79375</v>
      </c>
      <c r="B651" s="31" t="s">
        <v>74</v>
      </c>
      <c r="C651" s="31"/>
      <c r="D651" s="31" t="s">
        <v>84</v>
      </c>
      <c r="E651" s="31"/>
      <c r="F651" s="26" t="n">
        <f aca="false">INT(A651-4/24)</f>
        <v>46275</v>
      </c>
    </row>
    <row r="652" customFormat="false" ht="15" hidden="false" customHeight="false" outlineLevel="0" collapsed="false">
      <c r="A652" s="30" t="n">
        <v>46275.8298611111</v>
      </c>
      <c r="B652" s="31" t="s">
        <v>77</v>
      </c>
      <c r="C652" s="31" t="n">
        <v>5</v>
      </c>
      <c r="D652" s="31"/>
      <c r="E652" s="31"/>
      <c r="F652" s="26" t="n">
        <f aca="false">INT(A652-4/24)</f>
        <v>46275</v>
      </c>
    </row>
    <row r="653" customFormat="false" ht="15" hidden="false" customHeight="false" outlineLevel="0" collapsed="false">
      <c r="A653" s="30" t="n">
        <v>46275.9597222222</v>
      </c>
      <c r="B653" s="31" t="s">
        <v>74</v>
      </c>
      <c r="C653" s="31"/>
      <c r="D653" s="31" t="s">
        <v>82</v>
      </c>
      <c r="E653" s="31"/>
      <c r="F653" s="26" t="n">
        <f aca="false">INT(A653-4/24)</f>
        <v>46275</v>
      </c>
    </row>
    <row r="654" customFormat="false" ht="15" hidden="false" customHeight="false" outlineLevel="0" collapsed="false">
      <c r="A654" s="30" t="n">
        <v>46275.9756944445</v>
      </c>
      <c r="B654" s="31" t="s">
        <v>77</v>
      </c>
      <c r="C654" s="31" t="n">
        <v>5</v>
      </c>
      <c r="D654" s="31"/>
      <c r="E654" s="31"/>
      <c r="F654" s="26" t="n">
        <f aca="false">INT(A654-4/24)</f>
        <v>46275</v>
      </c>
    </row>
    <row r="655" customFormat="false" ht="15" hidden="false" customHeight="false" outlineLevel="0" collapsed="false">
      <c r="A655" s="30" t="n">
        <v>46276.0076388889</v>
      </c>
      <c r="B655" s="31" t="s">
        <v>75</v>
      </c>
      <c r="C655" s="31"/>
      <c r="D655" s="31"/>
      <c r="E655" s="31"/>
      <c r="F655" s="26" t="n">
        <f aca="false">INT(A655-4/24)</f>
        <v>46275</v>
      </c>
    </row>
    <row r="656" customFormat="false" ht="15" hidden="false" customHeight="false" outlineLevel="0" collapsed="false">
      <c r="A656" s="30" t="n">
        <v>46276.0145833333</v>
      </c>
      <c r="B656" s="31" t="s">
        <v>20</v>
      </c>
      <c r="C656" s="31"/>
      <c r="D656" s="31"/>
      <c r="E656" s="31"/>
      <c r="F656" s="26" t="n">
        <f aca="false">INT(A656-4/24)</f>
        <v>46275</v>
      </c>
    </row>
    <row r="657" customFormat="false" ht="15" hidden="false" customHeight="false" outlineLevel="0" collapsed="false">
      <c r="A657" s="30" t="n">
        <v>46276.2916666667</v>
      </c>
      <c r="B657" s="31" t="s">
        <v>79</v>
      </c>
      <c r="C657" s="31"/>
      <c r="D657" s="31"/>
      <c r="E657" s="31"/>
      <c r="F657" s="26" t="n">
        <f aca="false">INT(A657-4/24)</f>
        <v>46276</v>
      </c>
    </row>
    <row r="658" customFormat="false" ht="15" hidden="false" customHeight="false" outlineLevel="0" collapsed="false">
      <c r="A658" s="30" t="n">
        <v>46276.3104166667</v>
      </c>
      <c r="B658" s="31" t="s">
        <v>74</v>
      </c>
      <c r="C658" s="31"/>
      <c r="D658" s="31" t="s">
        <v>82</v>
      </c>
      <c r="E658" s="31"/>
      <c r="F658" s="26" t="n">
        <f aca="false">INT(A658-4/24)</f>
        <v>46276</v>
      </c>
    </row>
    <row r="659" customFormat="false" ht="15" hidden="false" customHeight="false" outlineLevel="0" collapsed="false">
      <c r="A659" s="30" t="n">
        <v>46276.3104166667</v>
      </c>
      <c r="B659" s="31" t="s">
        <v>77</v>
      </c>
      <c r="C659" s="31" t="n">
        <v>5</v>
      </c>
      <c r="D659" s="31"/>
      <c r="E659" s="31"/>
      <c r="F659" s="26" t="n">
        <f aca="false">INT(A659-4/24)</f>
        <v>46276</v>
      </c>
    </row>
    <row r="660" customFormat="false" ht="15" hidden="false" customHeight="false" outlineLevel="0" collapsed="false">
      <c r="A660" s="30" t="n">
        <v>46276.31875</v>
      </c>
      <c r="B660" s="31" t="s">
        <v>80</v>
      </c>
      <c r="C660" s="31"/>
      <c r="D660" s="31"/>
      <c r="E660" s="31"/>
      <c r="F660" s="26" t="n">
        <f aca="false">INT(A660-4/24)</f>
        <v>46276</v>
      </c>
    </row>
    <row r="661" customFormat="false" ht="15" hidden="false" customHeight="false" outlineLevel="0" collapsed="false">
      <c r="A661" s="30" t="n">
        <v>46276.5048611111</v>
      </c>
      <c r="B661" s="31" t="s">
        <v>81</v>
      </c>
      <c r="C661" s="31"/>
      <c r="D661" s="31"/>
      <c r="E661" s="31"/>
      <c r="F661" s="26" t="n">
        <f aca="false">INT(A661-4/24)</f>
        <v>46276</v>
      </c>
    </row>
    <row r="662" customFormat="false" ht="15" hidden="false" customHeight="false" outlineLevel="0" collapsed="false">
      <c r="A662" s="30" t="n">
        <v>46276.5104166667</v>
      </c>
      <c r="B662" s="31" t="s">
        <v>74</v>
      </c>
      <c r="C662" s="31"/>
      <c r="D662" s="31" t="s">
        <v>82</v>
      </c>
      <c r="E662" s="31"/>
      <c r="F662" s="26" t="n">
        <f aca="false">INT(A662-4/24)</f>
        <v>46276</v>
      </c>
    </row>
    <row r="663" customFormat="false" ht="15" hidden="false" customHeight="false" outlineLevel="0" collapsed="false">
      <c r="A663" s="30" t="n">
        <v>46276.5118055556</v>
      </c>
      <c r="B663" s="31" t="s">
        <v>77</v>
      </c>
      <c r="C663" s="31" t="n">
        <v>5</v>
      </c>
      <c r="D663" s="31"/>
      <c r="E663" s="31"/>
      <c r="F663" s="26" t="n">
        <f aca="false">INT(A663-4/24)</f>
        <v>46276</v>
      </c>
    </row>
    <row r="664" customFormat="false" ht="15" hidden="false" customHeight="false" outlineLevel="0" collapsed="false">
      <c r="A664" s="30" t="n">
        <v>46276.6041666667</v>
      </c>
      <c r="B664" s="31" t="s">
        <v>74</v>
      </c>
      <c r="C664" s="31"/>
      <c r="D664" s="31" t="s">
        <v>82</v>
      </c>
      <c r="E664" s="31"/>
      <c r="F664" s="26" t="n">
        <f aca="false">INT(A664-4/24)</f>
        <v>46276</v>
      </c>
    </row>
    <row r="665" customFormat="false" ht="15" hidden="false" customHeight="false" outlineLevel="0" collapsed="false">
      <c r="A665" s="30" t="n">
        <v>46276.6138888889</v>
      </c>
      <c r="B665" s="31" t="s">
        <v>77</v>
      </c>
      <c r="C665" s="31" t="n">
        <v>5</v>
      </c>
      <c r="D665" s="31"/>
      <c r="E665" s="31"/>
      <c r="F665" s="26" t="n">
        <f aca="false">INT(A665-4/24)</f>
        <v>46276</v>
      </c>
    </row>
    <row r="666" customFormat="false" ht="15" hidden="false" customHeight="false" outlineLevel="0" collapsed="false">
      <c r="A666" s="30" t="n">
        <v>46276.6458333333</v>
      </c>
      <c r="B666" s="31" t="s">
        <v>74</v>
      </c>
      <c r="C666" s="31"/>
      <c r="D666" s="31" t="s">
        <v>84</v>
      </c>
      <c r="E666" s="31"/>
      <c r="F666" s="26" t="n">
        <f aca="false">INT(A666-4/24)</f>
        <v>46276</v>
      </c>
    </row>
    <row r="667" customFormat="false" ht="15" hidden="false" customHeight="false" outlineLevel="0" collapsed="false">
      <c r="A667" s="30" t="n">
        <v>46276.7083333333</v>
      </c>
      <c r="B667" s="31" t="s">
        <v>75</v>
      </c>
      <c r="C667" s="31"/>
      <c r="D667" s="31"/>
      <c r="E667" s="31"/>
      <c r="F667" s="26" t="n">
        <f aca="false">INT(A667-4/24)</f>
        <v>46276</v>
      </c>
    </row>
    <row r="668" customFormat="false" ht="15" hidden="false" customHeight="false" outlineLevel="0" collapsed="false">
      <c r="A668" s="30" t="n">
        <v>46276.7409722222</v>
      </c>
      <c r="B668" s="31" t="s">
        <v>77</v>
      </c>
      <c r="C668" s="31" t="n">
        <v>5</v>
      </c>
      <c r="D668" s="31"/>
      <c r="E668" s="31"/>
      <c r="F668" s="26" t="n">
        <f aca="false">INT(A668-4/24)</f>
        <v>46276</v>
      </c>
    </row>
    <row r="669" customFormat="false" ht="15" hidden="false" customHeight="false" outlineLevel="0" collapsed="false">
      <c r="A669" s="30" t="n">
        <v>46276.7951388889</v>
      </c>
      <c r="B669" s="31" t="s">
        <v>74</v>
      </c>
      <c r="C669" s="31"/>
      <c r="D669" s="31" t="s">
        <v>82</v>
      </c>
      <c r="E669" s="31"/>
      <c r="F669" s="26" t="n">
        <f aca="false">INT(A669-4/24)</f>
        <v>46276</v>
      </c>
    </row>
    <row r="670" customFormat="false" ht="15" hidden="false" customHeight="false" outlineLevel="0" collapsed="false">
      <c r="A670" s="30" t="n">
        <v>46276.8402777778</v>
      </c>
      <c r="B670" s="31" t="s">
        <v>80</v>
      </c>
      <c r="C670" s="31"/>
      <c r="D670" s="31"/>
      <c r="E670" s="31"/>
      <c r="F670" s="26" t="n">
        <f aca="false">INT(A670-4/24)</f>
        <v>46276</v>
      </c>
    </row>
    <row r="671" customFormat="false" ht="15" hidden="false" customHeight="false" outlineLevel="0" collapsed="false">
      <c r="A671" s="30" t="n">
        <v>46276.8541666667</v>
      </c>
      <c r="B671" s="31" t="s">
        <v>81</v>
      </c>
      <c r="C671" s="31"/>
      <c r="D671" s="31"/>
      <c r="E671" s="31"/>
      <c r="F671" s="26" t="n">
        <f aca="false">INT(A671-4/24)</f>
        <v>46276</v>
      </c>
    </row>
    <row r="672" customFormat="false" ht="15" hidden="false" customHeight="false" outlineLevel="0" collapsed="false">
      <c r="A672" s="30" t="n">
        <v>46276.8652777778</v>
      </c>
      <c r="B672" s="31" t="s">
        <v>77</v>
      </c>
      <c r="C672" s="31" t="n">
        <v>5</v>
      </c>
      <c r="D672" s="31"/>
      <c r="E672" s="31"/>
      <c r="F672" s="26" t="n">
        <f aca="false">INT(A672-4/24)</f>
        <v>46276</v>
      </c>
    </row>
    <row r="673" customFormat="false" ht="15" hidden="false" customHeight="false" outlineLevel="0" collapsed="false">
      <c r="A673" s="30" t="n">
        <v>46276.9930555556</v>
      </c>
      <c r="B673" s="31" t="s">
        <v>74</v>
      </c>
      <c r="C673" s="31"/>
      <c r="D673" s="31" t="s">
        <v>82</v>
      </c>
      <c r="E673" s="31"/>
      <c r="F673" s="26" t="n">
        <f aca="false">INT(A673-4/24)</f>
        <v>46276</v>
      </c>
    </row>
    <row r="674" customFormat="false" ht="15" hidden="false" customHeight="false" outlineLevel="0" collapsed="false">
      <c r="A674" s="30" t="n">
        <v>46276.9958333333</v>
      </c>
      <c r="B674" s="31" t="s">
        <v>77</v>
      </c>
      <c r="C674" s="31" t="n">
        <v>5</v>
      </c>
      <c r="D674" s="31"/>
      <c r="E674" s="31"/>
      <c r="F674" s="26" t="n">
        <f aca="false">INT(A674-4/24)</f>
        <v>46276</v>
      </c>
    </row>
    <row r="675" customFormat="false" ht="15" hidden="false" customHeight="false" outlineLevel="0" collapsed="false">
      <c r="A675" s="30" t="n">
        <v>46277</v>
      </c>
      <c r="B675" s="31" t="s">
        <v>75</v>
      </c>
      <c r="C675" s="31"/>
      <c r="D675" s="31"/>
      <c r="E675" s="31"/>
      <c r="F675" s="26" t="n">
        <f aca="false">INT(A675-4/24)</f>
        <v>46276</v>
      </c>
    </row>
    <row r="676" customFormat="false" ht="15" hidden="false" customHeight="false" outlineLevel="0" collapsed="false">
      <c r="A676" s="30" t="n">
        <v>46277.0298611111</v>
      </c>
      <c r="B676" s="31" t="s">
        <v>20</v>
      </c>
      <c r="C676" s="31"/>
      <c r="D676" s="31"/>
      <c r="E676" s="31"/>
      <c r="F676" s="26" t="n">
        <f aca="false">INT(A676-4/24)</f>
        <v>46276</v>
      </c>
    </row>
    <row r="677" customFormat="false" ht="15" hidden="false" customHeight="false" outlineLevel="0" collapsed="false">
      <c r="A677" s="30" t="n">
        <v>46277.3694444444</v>
      </c>
      <c r="B677" s="31" t="s">
        <v>79</v>
      </c>
      <c r="C677" s="31"/>
      <c r="D677" s="31"/>
      <c r="E677" s="31"/>
      <c r="F677" s="26" t="n">
        <f aca="false">INT(A677-4/24)</f>
        <v>46277</v>
      </c>
    </row>
    <row r="678" customFormat="false" ht="15" hidden="false" customHeight="false" outlineLevel="0" collapsed="false">
      <c r="A678" s="30" t="n">
        <v>46277.3694444444</v>
      </c>
      <c r="B678" s="31" t="s">
        <v>74</v>
      </c>
      <c r="C678" s="31"/>
      <c r="D678" s="31" t="s">
        <v>82</v>
      </c>
      <c r="E678" s="31"/>
      <c r="F678" s="26" t="n">
        <f aca="false">INT(A678-4/24)</f>
        <v>46277</v>
      </c>
    </row>
    <row r="679" customFormat="false" ht="15" hidden="false" customHeight="false" outlineLevel="0" collapsed="false">
      <c r="A679" s="30" t="n">
        <v>46277.3756944445</v>
      </c>
      <c r="B679" s="31" t="s">
        <v>77</v>
      </c>
      <c r="C679" s="31" t="n">
        <v>5</v>
      </c>
      <c r="D679" s="31"/>
      <c r="E679" s="31"/>
      <c r="F679" s="26" t="n">
        <f aca="false">INT(A679-4/24)</f>
        <v>46277</v>
      </c>
    </row>
    <row r="680" customFormat="false" ht="15" hidden="false" customHeight="false" outlineLevel="0" collapsed="false">
      <c r="A680" s="30" t="n">
        <v>46277.3756944445</v>
      </c>
      <c r="B680" s="31" t="s">
        <v>75</v>
      </c>
      <c r="C680" s="31"/>
      <c r="D680" s="31"/>
      <c r="E680" s="31"/>
      <c r="F680" s="26" t="n">
        <f aca="false">INT(A680-4/24)</f>
        <v>46277</v>
      </c>
    </row>
    <row r="681" customFormat="false" ht="15" hidden="false" customHeight="false" outlineLevel="0" collapsed="false">
      <c r="A681" s="30" t="n">
        <v>46277.5</v>
      </c>
      <c r="B681" s="31" t="s">
        <v>74</v>
      </c>
      <c r="C681" s="31"/>
      <c r="D681" s="31" t="s">
        <v>83</v>
      </c>
      <c r="E681" s="31"/>
      <c r="F681" s="26" t="n">
        <f aca="false">INT(A681-4/24)</f>
        <v>46277</v>
      </c>
    </row>
    <row r="682" customFormat="false" ht="15" hidden="false" customHeight="false" outlineLevel="0" collapsed="false">
      <c r="A682" s="30" t="n">
        <v>46277.5027777778</v>
      </c>
      <c r="B682" s="31" t="s">
        <v>77</v>
      </c>
      <c r="C682" s="31" t="n">
        <v>5</v>
      </c>
      <c r="D682" s="31"/>
      <c r="E682" s="31"/>
      <c r="F682" s="26" t="n">
        <f aca="false">INT(A682-4/24)</f>
        <v>46277</v>
      </c>
    </row>
    <row r="683" customFormat="false" ht="15" hidden="false" customHeight="false" outlineLevel="0" collapsed="false">
      <c r="A683" s="30" t="n">
        <v>46277.5486111111</v>
      </c>
      <c r="B683" s="31" t="s">
        <v>74</v>
      </c>
      <c r="C683" s="31"/>
      <c r="D683" s="31" t="s">
        <v>82</v>
      </c>
      <c r="E683" s="31"/>
      <c r="F683" s="26" t="n">
        <f aca="false">INT(A683-4/24)</f>
        <v>46277</v>
      </c>
    </row>
    <row r="684" customFormat="false" ht="15" hidden="false" customHeight="false" outlineLevel="0" collapsed="false">
      <c r="A684" s="30" t="n">
        <v>46277.6451388889</v>
      </c>
      <c r="B684" s="31" t="s">
        <v>74</v>
      </c>
      <c r="C684" s="31"/>
      <c r="D684" s="31" t="s">
        <v>82</v>
      </c>
      <c r="E684" s="31"/>
      <c r="F684" s="26" t="n">
        <f aca="false">INT(A684-4/24)</f>
        <v>46277</v>
      </c>
    </row>
    <row r="685" customFormat="false" ht="15" hidden="false" customHeight="false" outlineLevel="0" collapsed="false">
      <c r="A685" s="30" t="n">
        <v>46277.6569444445</v>
      </c>
      <c r="B685" s="31" t="s">
        <v>77</v>
      </c>
      <c r="C685" s="31" t="n">
        <v>5</v>
      </c>
      <c r="D685" s="31"/>
      <c r="E685" s="31"/>
      <c r="F685" s="26" t="n">
        <f aca="false">INT(A685-4/24)</f>
        <v>46277</v>
      </c>
    </row>
    <row r="686" customFormat="false" ht="15" hidden="false" customHeight="false" outlineLevel="0" collapsed="false">
      <c r="A686" s="30" t="n">
        <v>46277.6805555556</v>
      </c>
      <c r="B686" s="31" t="s">
        <v>74</v>
      </c>
      <c r="C686" s="31"/>
      <c r="D686" s="31" t="s">
        <v>84</v>
      </c>
      <c r="E686" s="31"/>
      <c r="F686" s="26" t="n">
        <f aca="false">INT(A686-4/24)</f>
        <v>46277</v>
      </c>
    </row>
    <row r="687" customFormat="false" ht="15" hidden="false" customHeight="false" outlineLevel="0" collapsed="false">
      <c r="A687" s="30" t="n">
        <v>46277.6979166667</v>
      </c>
      <c r="B687" s="31" t="s">
        <v>80</v>
      </c>
      <c r="C687" s="31"/>
      <c r="D687" s="31"/>
      <c r="E687" s="31"/>
      <c r="F687" s="26" t="n">
        <f aca="false">INT(A687-4/24)</f>
        <v>46277</v>
      </c>
    </row>
    <row r="688" customFormat="false" ht="15" hidden="false" customHeight="false" outlineLevel="0" collapsed="false">
      <c r="A688" s="30" t="n">
        <v>46277.725</v>
      </c>
      <c r="B688" s="31" t="s">
        <v>81</v>
      </c>
      <c r="C688" s="31"/>
      <c r="D688" s="31"/>
      <c r="E688" s="31"/>
      <c r="F688" s="26" t="n">
        <f aca="false">INT(A688-4/24)</f>
        <v>46277</v>
      </c>
    </row>
    <row r="689" customFormat="false" ht="15" hidden="false" customHeight="false" outlineLevel="0" collapsed="false">
      <c r="A689" s="30" t="n">
        <v>46277.7291666667</v>
      </c>
      <c r="B689" s="31" t="s">
        <v>75</v>
      </c>
      <c r="C689" s="31"/>
      <c r="D689" s="31"/>
      <c r="E689" s="31"/>
      <c r="F689" s="26" t="n">
        <f aca="false">INT(A689-4/24)</f>
        <v>46277</v>
      </c>
    </row>
    <row r="690" customFormat="false" ht="15" hidden="false" customHeight="false" outlineLevel="0" collapsed="false">
      <c r="A690" s="30" t="n">
        <v>46277.7319444444</v>
      </c>
      <c r="B690" s="31" t="s">
        <v>74</v>
      </c>
      <c r="C690" s="31"/>
      <c r="D690" s="31" t="s">
        <v>82</v>
      </c>
      <c r="E690" s="31"/>
      <c r="F690" s="26" t="n">
        <f aca="false">INT(A690-4/24)</f>
        <v>46277</v>
      </c>
    </row>
    <row r="691" customFormat="false" ht="15" hidden="false" customHeight="false" outlineLevel="0" collapsed="false">
      <c r="A691" s="30" t="n">
        <v>46277.7618055556</v>
      </c>
      <c r="B691" s="31" t="s">
        <v>77</v>
      </c>
      <c r="C691" s="31" t="n">
        <v>5</v>
      </c>
      <c r="D691" s="31"/>
      <c r="E691" s="31"/>
      <c r="F691" s="26" t="n">
        <f aca="false">INT(A691-4/24)</f>
        <v>46277</v>
      </c>
    </row>
    <row r="692" customFormat="false" ht="15" hidden="false" customHeight="false" outlineLevel="0" collapsed="false">
      <c r="A692" s="30" t="n">
        <v>46277.7680555556</v>
      </c>
      <c r="B692" s="31" t="s">
        <v>80</v>
      </c>
      <c r="C692" s="31"/>
      <c r="D692" s="31"/>
      <c r="E692" s="31"/>
      <c r="F692" s="26" t="n">
        <f aca="false">INT(A692-4/24)</f>
        <v>46277</v>
      </c>
    </row>
    <row r="693" customFormat="false" ht="15" hidden="false" customHeight="false" outlineLevel="0" collapsed="false">
      <c r="A693" s="30" t="n">
        <v>46277.8402777778</v>
      </c>
      <c r="B693" s="31" t="s">
        <v>81</v>
      </c>
      <c r="C693" s="31"/>
      <c r="D693" s="31"/>
      <c r="E693" s="31"/>
      <c r="F693" s="26" t="n">
        <f aca="false">INT(A693-4/24)</f>
        <v>46277</v>
      </c>
    </row>
    <row r="694" customFormat="false" ht="15" hidden="false" customHeight="false" outlineLevel="0" collapsed="false">
      <c r="A694" s="30" t="n">
        <v>46277.85</v>
      </c>
      <c r="B694" s="31" t="s">
        <v>74</v>
      </c>
      <c r="C694" s="31"/>
      <c r="D694" s="31" t="s">
        <v>82</v>
      </c>
      <c r="E694" s="31"/>
      <c r="F694" s="26" t="n">
        <f aca="false">INT(A694-4/24)</f>
        <v>46277</v>
      </c>
    </row>
    <row r="695" customFormat="false" ht="15" hidden="false" customHeight="false" outlineLevel="0" collapsed="false">
      <c r="A695" s="30" t="n">
        <v>46277.9277777778</v>
      </c>
      <c r="B695" s="31" t="s">
        <v>77</v>
      </c>
      <c r="C695" s="31" t="n">
        <v>5</v>
      </c>
      <c r="D695" s="31"/>
      <c r="E695" s="31"/>
      <c r="F695" s="26" t="n">
        <f aca="false">INT(A695-4/24)</f>
        <v>46277</v>
      </c>
    </row>
    <row r="696" customFormat="false" ht="15" hidden="false" customHeight="false" outlineLevel="0" collapsed="false">
      <c r="A696" s="30" t="n">
        <v>46277.95625</v>
      </c>
      <c r="B696" s="31" t="s">
        <v>74</v>
      </c>
      <c r="C696" s="31"/>
      <c r="D696" s="31" t="s">
        <v>82</v>
      </c>
      <c r="E696" s="31"/>
      <c r="F696" s="26" t="n">
        <f aca="false">INT(A696-4/24)</f>
        <v>46277</v>
      </c>
    </row>
    <row r="697" customFormat="false" ht="15" hidden="false" customHeight="false" outlineLevel="0" collapsed="false">
      <c r="A697" s="30" t="n">
        <v>46278.0180555556</v>
      </c>
      <c r="B697" s="31" t="s">
        <v>74</v>
      </c>
      <c r="C697" s="31"/>
      <c r="D697" s="31" t="s">
        <v>82</v>
      </c>
      <c r="E697" s="31"/>
      <c r="F697" s="26" t="n">
        <f aca="false">INT(A697-4/24)</f>
        <v>46277</v>
      </c>
    </row>
    <row r="698" customFormat="false" ht="15" hidden="false" customHeight="false" outlineLevel="0" collapsed="false">
      <c r="A698" s="30" t="n">
        <v>46278.01875</v>
      </c>
      <c r="B698" s="31" t="s">
        <v>77</v>
      </c>
      <c r="C698" s="31" t="n">
        <v>4</v>
      </c>
      <c r="D698" s="31"/>
      <c r="E698" s="31"/>
      <c r="F698" s="26" t="n">
        <f aca="false">INT(A698-4/24)</f>
        <v>46277</v>
      </c>
    </row>
    <row r="699" customFormat="false" ht="15" hidden="false" customHeight="false" outlineLevel="0" collapsed="false">
      <c r="A699" s="30" t="n">
        <v>46278.0236111111</v>
      </c>
      <c r="B699" s="31" t="s">
        <v>75</v>
      </c>
      <c r="C699" s="31"/>
      <c r="D699" s="31"/>
      <c r="E699" s="31"/>
      <c r="F699" s="26" t="n">
        <f aca="false">INT(A699-4/24)</f>
        <v>46277</v>
      </c>
    </row>
    <row r="700" customFormat="false" ht="15" hidden="false" customHeight="false" outlineLevel="0" collapsed="false">
      <c r="A700" s="30" t="n">
        <v>46278.0569444444</v>
      </c>
      <c r="B700" s="31" t="s">
        <v>20</v>
      </c>
      <c r="C700" s="31"/>
      <c r="D700" s="31"/>
      <c r="E700" s="31"/>
      <c r="F700" s="26" t="n">
        <f aca="false">INT(A700-4/24)</f>
        <v>46277</v>
      </c>
    </row>
    <row r="701" customFormat="false" ht="15" hidden="false" customHeight="false" outlineLevel="0" collapsed="false">
      <c r="A701" s="30" t="n">
        <v>46278.2743055556</v>
      </c>
      <c r="B701" s="31" t="s">
        <v>79</v>
      </c>
      <c r="C701" s="31"/>
      <c r="D701" s="31"/>
      <c r="E701" s="31"/>
      <c r="F701" s="26" t="n">
        <f aca="false">INT(A701-4/24)</f>
        <v>46278</v>
      </c>
    </row>
    <row r="702" customFormat="false" ht="15" hidden="false" customHeight="false" outlineLevel="0" collapsed="false">
      <c r="A702" s="30" t="n">
        <v>46278.2847222222</v>
      </c>
      <c r="B702" s="31" t="s">
        <v>74</v>
      </c>
      <c r="C702" s="31"/>
      <c r="D702" s="31" t="s">
        <v>82</v>
      </c>
      <c r="E702" s="31"/>
      <c r="F702" s="26" t="n">
        <f aca="false">INT(A702-4/24)</f>
        <v>46278</v>
      </c>
    </row>
    <row r="703" customFormat="false" ht="15" hidden="false" customHeight="false" outlineLevel="0" collapsed="false">
      <c r="A703" s="30" t="n">
        <v>46278.2944444444</v>
      </c>
      <c r="B703" s="31" t="s">
        <v>77</v>
      </c>
      <c r="C703" s="31" t="n">
        <v>5</v>
      </c>
      <c r="D703" s="31"/>
      <c r="E703" s="31"/>
      <c r="F703" s="26" t="n">
        <f aca="false">INT(A703-4/24)</f>
        <v>46278</v>
      </c>
    </row>
    <row r="704" customFormat="false" ht="15" hidden="false" customHeight="false" outlineLevel="0" collapsed="false">
      <c r="A704" s="30" t="n">
        <v>46278.3347222222</v>
      </c>
      <c r="B704" s="31" t="s">
        <v>80</v>
      </c>
      <c r="C704" s="31"/>
      <c r="D704" s="31"/>
      <c r="E704" s="31"/>
      <c r="F704" s="26" t="n">
        <f aca="false">INT(A704-4/24)</f>
        <v>46278</v>
      </c>
    </row>
    <row r="705" customFormat="false" ht="15" hidden="false" customHeight="false" outlineLevel="0" collapsed="false">
      <c r="A705" s="30" t="n">
        <v>46278.3354166667</v>
      </c>
      <c r="B705" s="31" t="s">
        <v>75</v>
      </c>
      <c r="C705" s="31"/>
      <c r="D705" s="31"/>
      <c r="E705" s="31"/>
      <c r="F705" s="26" t="n">
        <f aca="false">INT(A705-4/24)</f>
        <v>46278</v>
      </c>
    </row>
    <row r="706" customFormat="false" ht="15" hidden="false" customHeight="false" outlineLevel="0" collapsed="false">
      <c r="A706" s="30" t="n">
        <v>46278.4652777778</v>
      </c>
      <c r="B706" s="31" t="s">
        <v>77</v>
      </c>
      <c r="C706" s="31" t="n">
        <v>5</v>
      </c>
      <c r="D706" s="31"/>
      <c r="E706" s="31"/>
      <c r="F706" s="26" t="n">
        <f aca="false">INT(A706-4/24)</f>
        <v>46278</v>
      </c>
    </row>
    <row r="707" customFormat="false" ht="15" hidden="false" customHeight="false" outlineLevel="0" collapsed="false">
      <c r="A707" s="30" t="n">
        <v>46278.4659722222</v>
      </c>
      <c r="B707" s="31" t="s">
        <v>81</v>
      </c>
      <c r="C707" s="31"/>
      <c r="D707" s="31"/>
      <c r="E707" s="31"/>
      <c r="F707" s="26" t="n">
        <f aca="false">INT(A707-4/24)</f>
        <v>46278</v>
      </c>
    </row>
    <row r="708" customFormat="false" ht="15" hidden="false" customHeight="false" outlineLevel="0" collapsed="false">
      <c r="A708" s="30" t="n">
        <v>46278.4708333333</v>
      </c>
      <c r="B708" s="31" t="s">
        <v>74</v>
      </c>
      <c r="C708" s="31"/>
      <c r="D708" s="31" t="s">
        <v>82</v>
      </c>
      <c r="E708" s="31"/>
      <c r="F708" s="26" t="n">
        <f aca="false">INT(A708-4/24)</f>
        <v>46278</v>
      </c>
    </row>
    <row r="709" customFormat="false" ht="15" hidden="false" customHeight="false" outlineLevel="0" collapsed="false">
      <c r="A709" s="30" t="n">
        <v>46278.6208333333</v>
      </c>
      <c r="B709" s="31" t="s">
        <v>74</v>
      </c>
      <c r="C709" s="31"/>
      <c r="D709" s="31" t="s">
        <v>84</v>
      </c>
      <c r="E709" s="31"/>
      <c r="F709" s="26" t="n">
        <f aca="false">INT(A709-4/24)</f>
        <v>46278</v>
      </c>
    </row>
    <row r="710" customFormat="false" ht="15" hidden="false" customHeight="false" outlineLevel="0" collapsed="false">
      <c r="A710" s="30" t="n">
        <v>46278.625</v>
      </c>
      <c r="B710" s="31" t="s">
        <v>77</v>
      </c>
      <c r="C710" s="31" t="n">
        <v>4</v>
      </c>
      <c r="D710" s="31"/>
      <c r="E710" s="31"/>
      <c r="F710" s="26" t="n">
        <f aca="false">INT(A710-4/24)</f>
        <v>46278</v>
      </c>
    </row>
    <row r="711" customFormat="false" ht="15" hidden="false" customHeight="false" outlineLevel="0" collapsed="false">
      <c r="A711" s="30" t="n">
        <v>46278.6770833333</v>
      </c>
      <c r="B711" s="31" t="s">
        <v>80</v>
      </c>
      <c r="C711" s="31"/>
      <c r="D711" s="31"/>
      <c r="E711" s="31"/>
      <c r="F711" s="26" t="n">
        <f aca="false">INT(A711-4/24)</f>
        <v>46278</v>
      </c>
    </row>
    <row r="712" customFormat="false" ht="15" hidden="false" customHeight="false" outlineLevel="0" collapsed="false">
      <c r="A712" s="30" t="n">
        <v>46278.7715277778</v>
      </c>
      <c r="B712" s="31" t="s">
        <v>81</v>
      </c>
      <c r="C712" s="31"/>
      <c r="D712" s="31"/>
      <c r="E712" s="31"/>
      <c r="F712" s="26" t="n">
        <f aca="false">INT(A712-4/24)</f>
        <v>46278</v>
      </c>
    </row>
    <row r="713" customFormat="false" ht="15" hidden="false" customHeight="false" outlineLevel="0" collapsed="false">
      <c r="A713" s="30" t="n">
        <v>46278.7798611111</v>
      </c>
      <c r="B713" s="31" t="s">
        <v>75</v>
      </c>
      <c r="C713" s="31"/>
      <c r="D713" s="31"/>
      <c r="E713" s="31"/>
      <c r="F713" s="26" t="n">
        <f aca="false">INT(A713-4/24)</f>
        <v>46278</v>
      </c>
    </row>
    <row r="714" customFormat="false" ht="15" hidden="false" customHeight="false" outlineLevel="0" collapsed="false">
      <c r="A714" s="30" t="n">
        <v>46278.7833333333</v>
      </c>
      <c r="B714" s="31" t="s">
        <v>77</v>
      </c>
      <c r="C714" s="31" t="n">
        <v>4</v>
      </c>
      <c r="D714" s="31"/>
      <c r="E714" s="31"/>
      <c r="F714" s="26" t="n">
        <f aca="false">INT(A714-4/24)</f>
        <v>46278</v>
      </c>
    </row>
    <row r="715" customFormat="false" ht="15" hidden="false" customHeight="false" outlineLevel="0" collapsed="false">
      <c r="A715" s="30" t="n">
        <v>46278.7986111111</v>
      </c>
      <c r="B715" s="31" t="s">
        <v>74</v>
      </c>
      <c r="C715" s="31"/>
      <c r="D715" s="31" t="s">
        <v>82</v>
      </c>
      <c r="E715" s="31"/>
      <c r="F715" s="26" t="n">
        <f aca="false">INT(A715-4/24)</f>
        <v>46278</v>
      </c>
    </row>
    <row r="716" customFormat="false" ht="15" hidden="false" customHeight="false" outlineLevel="0" collapsed="false">
      <c r="A716" s="30" t="n">
        <v>46278.8451388889</v>
      </c>
      <c r="B716" s="31" t="s">
        <v>74</v>
      </c>
      <c r="C716" s="31"/>
      <c r="D716" s="31" t="s">
        <v>82</v>
      </c>
      <c r="E716" s="31"/>
      <c r="F716" s="26" t="n">
        <f aca="false">INT(A716-4/24)</f>
        <v>46278</v>
      </c>
    </row>
    <row r="717" customFormat="false" ht="15" hidden="false" customHeight="false" outlineLevel="0" collapsed="false">
      <c r="A717" s="30" t="n">
        <v>46278.9131944445</v>
      </c>
      <c r="B717" s="31" t="s">
        <v>74</v>
      </c>
      <c r="C717" s="31"/>
      <c r="D717" s="31" t="s">
        <v>82</v>
      </c>
      <c r="E717" s="31"/>
      <c r="F717" s="26" t="n">
        <f aca="false">INT(A717-4/24)</f>
        <v>46278</v>
      </c>
    </row>
    <row r="718" customFormat="false" ht="15" hidden="false" customHeight="false" outlineLevel="0" collapsed="false">
      <c r="A718" s="30" t="n">
        <v>46278.9166666667</v>
      </c>
      <c r="B718" s="31" t="s">
        <v>77</v>
      </c>
      <c r="C718" s="31" t="n">
        <v>5</v>
      </c>
      <c r="D718" s="31"/>
      <c r="E718" s="31"/>
      <c r="F718" s="26" t="n">
        <f aca="false">INT(A718-4/24)</f>
        <v>46278</v>
      </c>
    </row>
    <row r="719" customFormat="false" ht="15" hidden="false" customHeight="false" outlineLevel="0" collapsed="false">
      <c r="A719" s="30" t="n">
        <v>46278.9652777778</v>
      </c>
      <c r="B719" s="31" t="s">
        <v>74</v>
      </c>
      <c r="C719" s="31"/>
      <c r="D719" s="31" t="s">
        <v>84</v>
      </c>
      <c r="E719" s="31"/>
      <c r="F719" s="26" t="n">
        <f aca="false">INT(A719-4/24)</f>
        <v>46278</v>
      </c>
    </row>
    <row r="720" customFormat="false" ht="15" hidden="false" customHeight="false" outlineLevel="0" collapsed="false">
      <c r="A720" s="30" t="n">
        <v>46279.0159722222</v>
      </c>
      <c r="B720" s="31" t="s">
        <v>75</v>
      </c>
      <c r="C720" s="31"/>
      <c r="D720" s="31"/>
      <c r="E720" s="31"/>
      <c r="F720" s="26" t="n">
        <f aca="false">INT(A720-4/24)</f>
        <v>46278</v>
      </c>
    </row>
    <row r="721" customFormat="false" ht="15" hidden="false" customHeight="false" outlineLevel="0" collapsed="false">
      <c r="A721" s="30" t="n">
        <v>46279.0159722222</v>
      </c>
      <c r="B721" s="31" t="s">
        <v>77</v>
      </c>
      <c r="C721" s="31" t="n">
        <v>4</v>
      </c>
      <c r="D721" s="31"/>
      <c r="E721" s="31"/>
      <c r="F721" s="26" t="n">
        <f aca="false">INT(A721-4/24)</f>
        <v>46278</v>
      </c>
    </row>
    <row r="722" customFormat="false" ht="15" hidden="false" customHeight="false" outlineLevel="0" collapsed="false">
      <c r="A722" s="30" t="n">
        <v>46279.0236111111</v>
      </c>
      <c r="B722" s="31" t="s">
        <v>80</v>
      </c>
      <c r="C722" s="31"/>
      <c r="D722" s="31"/>
      <c r="E722" s="31"/>
      <c r="F722" s="26" t="n">
        <f aca="false">INT(A722-4/24)</f>
        <v>46278</v>
      </c>
    </row>
    <row r="723" customFormat="false" ht="15" hidden="false" customHeight="false" outlineLevel="0" collapsed="false">
      <c r="A723" s="30" t="n">
        <v>46279.0548611111</v>
      </c>
      <c r="B723" s="31" t="s">
        <v>81</v>
      </c>
      <c r="C723" s="31"/>
      <c r="D723" s="31"/>
      <c r="E723" s="31"/>
      <c r="F723" s="26" t="n">
        <f aca="false">INT(A723-4/24)</f>
        <v>46278</v>
      </c>
    </row>
    <row r="724" customFormat="false" ht="15" hidden="false" customHeight="false" outlineLevel="0" collapsed="false">
      <c r="A724" s="30" t="n">
        <v>46279.0548611111</v>
      </c>
      <c r="B724" s="31" t="s">
        <v>20</v>
      </c>
      <c r="C724" s="31"/>
      <c r="D724" s="31"/>
      <c r="E724" s="31"/>
      <c r="F724" s="26" t="n">
        <f aca="false">INT(A724-4/24)</f>
        <v>46278</v>
      </c>
    </row>
    <row r="725" customFormat="false" ht="15" hidden="false" customHeight="false" outlineLevel="0" collapsed="false">
      <c r="A725" s="30" t="n">
        <v>46279.1875</v>
      </c>
      <c r="B725" s="31" t="s">
        <v>79</v>
      </c>
      <c r="C725" s="31"/>
      <c r="D725" s="31"/>
      <c r="E725" s="31"/>
      <c r="F725" s="26" t="n">
        <f aca="false">INT(A725-4/24)</f>
        <v>46279</v>
      </c>
    </row>
    <row r="726" customFormat="false" ht="15" hidden="false" customHeight="false" outlineLevel="0" collapsed="false">
      <c r="A726" s="30" t="n">
        <v>46279.21875</v>
      </c>
      <c r="B726" s="31" t="s">
        <v>74</v>
      </c>
      <c r="C726" s="31"/>
      <c r="D726" s="31" t="s">
        <v>82</v>
      </c>
      <c r="E726" s="31"/>
      <c r="F726" s="26" t="n">
        <f aca="false">INT(A726-4/24)</f>
        <v>46279</v>
      </c>
    </row>
    <row r="727" customFormat="false" ht="15" hidden="false" customHeight="false" outlineLevel="0" collapsed="false">
      <c r="A727" s="30" t="n">
        <v>46279.2222222222</v>
      </c>
      <c r="B727" s="31" t="s">
        <v>77</v>
      </c>
      <c r="C727" s="31" t="n">
        <v>5</v>
      </c>
      <c r="D727" s="31"/>
      <c r="E727" s="31"/>
      <c r="F727" s="26" t="n">
        <f aca="false">INT(A727-4/24)</f>
        <v>46279</v>
      </c>
    </row>
    <row r="728" customFormat="false" ht="15" hidden="false" customHeight="false" outlineLevel="0" collapsed="false">
      <c r="A728" s="30" t="n">
        <v>46279.2604166667</v>
      </c>
      <c r="B728" s="31" t="s">
        <v>80</v>
      </c>
      <c r="C728" s="31"/>
      <c r="D728" s="31"/>
      <c r="E728" s="31"/>
      <c r="F728" s="26" t="n">
        <f aca="false">INT(A728-4/24)</f>
        <v>46279</v>
      </c>
    </row>
    <row r="729" customFormat="false" ht="15" hidden="false" customHeight="false" outlineLevel="0" collapsed="false">
      <c r="A729" s="30" t="n">
        <v>46279.4097222222</v>
      </c>
      <c r="B729" s="31" t="s">
        <v>81</v>
      </c>
      <c r="C729" s="31"/>
      <c r="D729" s="31"/>
      <c r="E729" s="31"/>
      <c r="F729" s="26" t="n">
        <f aca="false">INT(A729-4/24)</f>
        <v>46279</v>
      </c>
    </row>
    <row r="730" customFormat="false" ht="15" hidden="false" customHeight="false" outlineLevel="0" collapsed="false">
      <c r="A730" s="30" t="n">
        <v>46279.4215277778</v>
      </c>
      <c r="B730" s="31" t="s">
        <v>77</v>
      </c>
      <c r="C730" s="31" t="n">
        <v>5</v>
      </c>
      <c r="D730" s="31"/>
      <c r="E730" s="31"/>
      <c r="F730" s="26" t="n">
        <f aca="false">INT(A730-4/24)</f>
        <v>46279</v>
      </c>
    </row>
    <row r="731" customFormat="false" ht="15" hidden="false" customHeight="false" outlineLevel="0" collapsed="false">
      <c r="A731" s="30" t="n">
        <v>46279.4215277778</v>
      </c>
      <c r="B731" s="31" t="s">
        <v>74</v>
      </c>
      <c r="C731" s="31"/>
      <c r="D731" s="31" t="s">
        <v>82</v>
      </c>
      <c r="E731" s="31"/>
      <c r="F731" s="26" t="n">
        <f aca="false">INT(A731-4/24)</f>
        <v>46279</v>
      </c>
    </row>
    <row r="732" customFormat="false" ht="15" hidden="false" customHeight="false" outlineLevel="0" collapsed="false">
      <c r="A732" s="30" t="n">
        <v>46279.4444444445</v>
      </c>
      <c r="B732" s="31" t="s">
        <v>75</v>
      </c>
      <c r="C732" s="31"/>
      <c r="D732" s="31"/>
      <c r="E732" s="31"/>
      <c r="F732" s="26" t="n">
        <f aca="false">INT(A732-4/24)</f>
        <v>46279</v>
      </c>
    </row>
    <row r="733" customFormat="false" ht="15" hidden="false" customHeight="false" outlineLevel="0" collapsed="false">
      <c r="A733" s="30" t="n">
        <v>46279.4930555556</v>
      </c>
      <c r="B733" s="31" t="s">
        <v>74</v>
      </c>
      <c r="C733" s="31"/>
      <c r="D733" s="31" t="s">
        <v>84</v>
      </c>
      <c r="E733" s="31"/>
      <c r="F733" s="26" t="n">
        <f aca="false">INT(A733-4/24)</f>
        <v>46279</v>
      </c>
    </row>
    <row r="734" customFormat="false" ht="15" hidden="false" customHeight="false" outlineLevel="0" collapsed="false">
      <c r="A734" s="30" t="n">
        <v>46279.5451388889</v>
      </c>
      <c r="B734" s="31" t="s">
        <v>77</v>
      </c>
      <c r="C734" s="31" t="n">
        <v>4</v>
      </c>
      <c r="D734" s="31"/>
      <c r="E734" s="31"/>
      <c r="F734" s="26" t="n">
        <f aca="false">INT(A734-4/24)</f>
        <v>46279</v>
      </c>
    </row>
    <row r="735" customFormat="false" ht="15" hidden="false" customHeight="false" outlineLevel="0" collapsed="false">
      <c r="A735" s="30" t="n">
        <v>46279.5569444444</v>
      </c>
      <c r="B735" s="31" t="s">
        <v>80</v>
      </c>
      <c r="C735" s="31"/>
      <c r="D735" s="31"/>
      <c r="E735" s="31"/>
      <c r="F735" s="26" t="n">
        <f aca="false">INT(A735-4/24)</f>
        <v>46279</v>
      </c>
    </row>
    <row r="736" customFormat="false" ht="15" hidden="false" customHeight="false" outlineLevel="0" collapsed="false">
      <c r="A736" s="30" t="n">
        <v>46279.5993055556</v>
      </c>
      <c r="B736" s="31" t="s">
        <v>81</v>
      </c>
      <c r="C736" s="31"/>
      <c r="D736" s="31"/>
      <c r="E736" s="31"/>
      <c r="F736" s="26" t="n">
        <f aca="false">INT(A736-4/24)</f>
        <v>46279</v>
      </c>
    </row>
    <row r="737" customFormat="false" ht="15" hidden="false" customHeight="false" outlineLevel="0" collapsed="false">
      <c r="A737" s="30" t="n">
        <v>46279.6</v>
      </c>
      <c r="B737" s="31" t="s">
        <v>74</v>
      </c>
      <c r="C737" s="31"/>
      <c r="D737" s="31" t="s">
        <v>82</v>
      </c>
      <c r="E737" s="31"/>
      <c r="F737" s="26" t="n">
        <f aca="false">INT(A737-4/24)</f>
        <v>46279</v>
      </c>
    </row>
    <row r="738" customFormat="false" ht="15" hidden="false" customHeight="false" outlineLevel="0" collapsed="false">
      <c r="A738" s="30" t="n">
        <v>46279.675</v>
      </c>
      <c r="B738" s="31" t="s">
        <v>77</v>
      </c>
      <c r="C738" s="31" t="n">
        <v>5</v>
      </c>
      <c r="D738" s="31"/>
      <c r="E738" s="31"/>
      <c r="F738" s="26" t="n">
        <f aca="false">INT(A738-4/24)</f>
        <v>46279</v>
      </c>
    </row>
    <row r="739" customFormat="false" ht="15" hidden="false" customHeight="false" outlineLevel="0" collapsed="false">
      <c r="A739" s="30" t="n">
        <v>46279.7527777778</v>
      </c>
      <c r="B739" s="31" t="s">
        <v>74</v>
      </c>
      <c r="C739" s="31"/>
      <c r="D739" s="31" t="s">
        <v>82</v>
      </c>
      <c r="E739" s="31"/>
      <c r="F739" s="26" t="n">
        <f aca="false">INT(A739-4/24)</f>
        <v>46279</v>
      </c>
    </row>
    <row r="740" customFormat="false" ht="15" hidden="false" customHeight="false" outlineLevel="0" collapsed="false">
      <c r="A740" s="30" t="n">
        <v>46279.7576388889</v>
      </c>
      <c r="B740" s="31" t="s">
        <v>75</v>
      </c>
      <c r="C740" s="31"/>
      <c r="D740" s="31"/>
      <c r="E740" s="31"/>
      <c r="F740" s="26" t="n">
        <f aca="false">INT(A740-4/24)</f>
        <v>46279</v>
      </c>
    </row>
    <row r="741" customFormat="false" ht="15" hidden="false" customHeight="false" outlineLevel="0" collapsed="false">
      <c r="A741" s="30" t="n">
        <v>46279.8159722222</v>
      </c>
      <c r="B741" s="31" t="s">
        <v>77</v>
      </c>
      <c r="C741" s="31" t="n">
        <v>5</v>
      </c>
      <c r="D741" s="31"/>
      <c r="E741" s="31"/>
      <c r="F741" s="26" t="n">
        <f aca="false">INT(A741-4/24)</f>
        <v>46279</v>
      </c>
    </row>
    <row r="742" customFormat="false" ht="15" hidden="false" customHeight="false" outlineLevel="0" collapsed="false">
      <c r="A742" s="30" t="n">
        <v>46279.8256944444</v>
      </c>
      <c r="B742" s="31" t="s">
        <v>80</v>
      </c>
      <c r="C742" s="31"/>
      <c r="D742" s="31"/>
      <c r="E742" s="31"/>
      <c r="F742" s="26" t="n">
        <f aca="false">INT(A742-4/24)</f>
        <v>46279</v>
      </c>
    </row>
    <row r="743" customFormat="false" ht="15" hidden="false" customHeight="false" outlineLevel="0" collapsed="false">
      <c r="A743" s="30" t="n">
        <v>46279.8923611111</v>
      </c>
      <c r="B743" s="31" t="s">
        <v>81</v>
      </c>
      <c r="C743" s="31"/>
      <c r="D743" s="31"/>
      <c r="E743" s="31"/>
      <c r="F743" s="26" t="n">
        <f aca="false">INT(A743-4/24)</f>
        <v>46279</v>
      </c>
    </row>
    <row r="744" customFormat="false" ht="15" hidden="false" customHeight="false" outlineLevel="0" collapsed="false">
      <c r="A744" s="30" t="n">
        <v>46279.9027777778</v>
      </c>
      <c r="B744" s="31" t="s">
        <v>74</v>
      </c>
      <c r="C744" s="31"/>
      <c r="D744" s="31" t="s">
        <v>84</v>
      </c>
      <c r="E744" s="31"/>
      <c r="F744" s="26" t="n">
        <f aca="false">INT(A744-4/24)</f>
        <v>46279</v>
      </c>
    </row>
    <row r="745" customFormat="false" ht="15" hidden="false" customHeight="false" outlineLevel="0" collapsed="false">
      <c r="A745" s="30" t="n">
        <v>46279.9652777778</v>
      </c>
      <c r="B745" s="31" t="s">
        <v>74</v>
      </c>
      <c r="C745" s="31"/>
      <c r="D745" s="31" t="s">
        <v>82</v>
      </c>
      <c r="E745" s="31"/>
      <c r="F745" s="26" t="n">
        <f aca="false">INT(A745-4/24)</f>
        <v>46279</v>
      </c>
    </row>
    <row r="746" customFormat="false" ht="15" hidden="false" customHeight="false" outlineLevel="0" collapsed="false">
      <c r="A746" s="30" t="n">
        <v>46279.96875</v>
      </c>
      <c r="B746" s="31" t="s">
        <v>77</v>
      </c>
      <c r="C746" s="31" t="n">
        <v>5</v>
      </c>
      <c r="D746" s="31"/>
      <c r="E746" s="31"/>
      <c r="F746" s="26" t="n">
        <f aca="false">INT(A746-4/24)</f>
        <v>46279</v>
      </c>
    </row>
    <row r="747" customFormat="false" ht="15" hidden="false" customHeight="false" outlineLevel="0" collapsed="false">
      <c r="A747" s="30" t="n">
        <v>46279.9951388889</v>
      </c>
      <c r="B747" s="31" t="s">
        <v>75</v>
      </c>
      <c r="C747" s="31"/>
      <c r="D747" s="31"/>
      <c r="E747" s="31"/>
      <c r="F747" s="26" t="n">
        <f aca="false">INT(A747-4/24)</f>
        <v>46279</v>
      </c>
    </row>
    <row r="748" customFormat="false" ht="15" hidden="false" customHeight="false" outlineLevel="0" collapsed="false">
      <c r="A748" s="30" t="n">
        <v>46280.0208333333</v>
      </c>
      <c r="B748" s="31" t="s">
        <v>20</v>
      </c>
      <c r="C748" s="31"/>
      <c r="D748" s="31"/>
      <c r="E748" s="31"/>
      <c r="F748" s="26" t="n">
        <f aca="false">INT(A748-4/24)</f>
        <v>46279</v>
      </c>
    </row>
    <row r="749" customFormat="false" ht="15" hidden="false" customHeight="false" outlineLevel="0" collapsed="false">
      <c r="A749" s="30" t="n">
        <v>46280.2708333333</v>
      </c>
      <c r="B749" s="31" t="s">
        <v>79</v>
      </c>
      <c r="C749" s="31"/>
      <c r="D749" s="31"/>
      <c r="E749" s="31"/>
      <c r="F749" s="26" t="n">
        <f aca="false">INT(A749-4/24)</f>
        <v>46280</v>
      </c>
    </row>
    <row r="750" customFormat="false" ht="15" hidden="false" customHeight="false" outlineLevel="0" collapsed="false">
      <c r="A750" s="30" t="n">
        <v>46280.2881944445</v>
      </c>
      <c r="B750" s="31" t="s">
        <v>74</v>
      </c>
      <c r="C750" s="31"/>
      <c r="D750" s="31" t="s">
        <v>82</v>
      </c>
      <c r="E750" s="31"/>
      <c r="F750" s="26" t="n">
        <f aca="false">INT(A750-4/24)</f>
        <v>46280</v>
      </c>
    </row>
    <row r="751" customFormat="false" ht="15" hidden="false" customHeight="false" outlineLevel="0" collapsed="false">
      <c r="A751" s="30" t="n">
        <v>46280.2916666667</v>
      </c>
      <c r="B751" s="31" t="s">
        <v>77</v>
      </c>
      <c r="C751" s="31" t="n">
        <v>5</v>
      </c>
      <c r="D751" s="31"/>
      <c r="E751" s="31"/>
      <c r="F751" s="26" t="n">
        <f aca="false">INT(A751-4/24)</f>
        <v>46280</v>
      </c>
    </row>
    <row r="752" customFormat="false" ht="15" hidden="false" customHeight="false" outlineLevel="0" collapsed="false">
      <c r="A752" s="30" t="n">
        <v>46280.3958333333</v>
      </c>
      <c r="B752" s="31" t="s">
        <v>75</v>
      </c>
      <c r="C752" s="31"/>
      <c r="D752" s="31"/>
      <c r="E752" s="31"/>
      <c r="F752" s="26" t="n">
        <f aca="false">INT(A752-4/24)</f>
        <v>46280</v>
      </c>
    </row>
    <row r="753" customFormat="false" ht="15" hidden="false" customHeight="false" outlineLevel="0" collapsed="false">
      <c r="A753" s="30" t="n">
        <v>46280.4041666667</v>
      </c>
      <c r="B753" s="31" t="s">
        <v>74</v>
      </c>
      <c r="C753" s="31"/>
      <c r="D753" s="31" t="s">
        <v>82</v>
      </c>
      <c r="E753" s="31"/>
      <c r="F753" s="26" t="n">
        <f aca="false">INT(A753-4/24)</f>
        <v>46280</v>
      </c>
    </row>
    <row r="754" customFormat="false" ht="15" hidden="false" customHeight="false" outlineLevel="0" collapsed="false">
      <c r="A754" s="30" t="n">
        <v>46280.40625</v>
      </c>
      <c r="B754" s="31" t="s">
        <v>77</v>
      </c>
      <c r="C754" s="31" t="n">
        <v>5</v>
      </c>
      <c r="D754" s="31"/>
      <c r="E754" s="31"/>
      <c r="F754" s="26" t="n">
        <f aca="false">INT(A754-4/24)</f>
        <v>46280</v>
      </c>
    </row>
    <row r="755" customFormat="false" ht="15" hidden="false" customHeight="false" outlineLevel="0" collapsed="false">
      <c r="A755" s="30" t="n">
        <v>46280.5986111111</v>
      </c>
      <c r="B755" s="31" t="s">
        <v>77</v>
      </c>
      <c r="C755" s="31" t="n">
        <v>5</v>
      </c>
      <c r="D755" s="31"/>
      <c r="E755" s="31"/>
      <c r="F755" s="26" t="n">
        <f aca="false">INT(A755-4/24)</f>
        <v>46280</v>
      </c>
    </row>
    <row r="756" customFormat="false" ht="15" hidden="false" customHeight="false" outlineLevel="0" collapsed="false">
      <c r="A756" s="30" t="n">
        <v>46280.6159722222</v>
      </c>
      <c r="B756" s="31" t="s">
        <v>74</v>
      </c>
      <c r="C756" s="31"/>
      <c r="D756" s="31" t="s">
        <v>82</v>
      </c>
      <c r="E756" s="31"/>
      <c r="F756" s="26" t="n">
        <f aca="false">INT(A756-4/24)</f>
        <v>46280</v>
      </c>
    </row>
    <row r="757" customFormat="false" ht="15" hidden="false" customHeight="false" outlineLevel="0" collapsed="false">
      <c r="A757" s="30" t="n">
        <v>46280.6597222222</v>
      </c>
      <c r="B757" s="31" t="s">
        <v>74</v>
      </c>
      <c r="C757" s="31"/>
      <c r="D757" s="31" t="s">
        <v>84</v>
      </c>
      <c r="E757" s="31"/>
      <c r="F757" s="26" t="n">
        <f aca="false">INT(A757-4/24)</f>
        <v>46280</v>
      </c>
    </row>
    <row r="758" customFormat="false" ht="15" hidden="false" customHeight="false" outlineLevel="0" collapsed="false">
      <c r="A758" s="30" t="n">
        <v>46280.6715277778</v>
      </c>
      <c r="B758" s="31" t="s">
        <v>75</v>
      </c>
      <c r="C758" s="31"/>
      <c r="D758" s="31"/>
      <c r="E758" s="31"/>
      <c r="F758" s="26" t="n">
        <f aca="false">INT(A758-4/24)</f>
        <v>46280</v>
      </c>
    </row>
    <row r="759" customFormat="false" ht="15" hidden="false" customHeight="false" outlineLevel="0" collapsed="false">
      <c r="A759" s="30" t="n">
        <v>46280.7152777778</v>
      </c>
      <c r="B759" s="31" t="s">
        <v>77</v>
      </c>
      <c r="C759" s="31" t="n">
        <v>5</v>
      </c>
      <c r="D759" s="31"/>
      <c r="E759" s="31"/>
      <c r="F759" s="26" t="n">
        <f aca="false">INT(A759-4/24)</f>
        <v>46280</v>
      </c>
    </row>
    <row r="760" customFormat="false" ht="15" hidden="false" customHeight="false" outlineLevel="0" collapsed="false">
      <c r="A760" s="30" t="n">
        <v>46280.8333333333</v>
      </c>
      <c r="B760" s="31" t="s">
        <v>74</v>
      </c>
      <c r="C760" s="31"/>
      <c r="D760" s="31" t="s">
        <v>82</v>
      </c>
      <c r="E760" s="31"/>
      <c r="F760" s="26" t="n">
        <f aca="false">INT(A760-4/24)</f>
        <v>46280</v>
      </c>
    </row>
    <row r="761" customFormat="false" ht="15" hidden="false" customHeight="false" outlineLevel="0" collapsed="false">
      <c r="A761" s="30" t="n">
        <v>46280.8375</v>
      </c>
      <c r="B761" s="31" t="s">
        <v>77</v>
      </c>
      <c r="C761" s="31" t="n">
        <v>5</v>
      </c>
      <c r="D761" s="31"/>
      <c r="E761" s="31"/>
      <c r="F761" s="26" t="n">
        <f aca="false">INT(A761-4/24)</f>
        <v>46280</v>
      </c>
    </row>
    <row r="762" customFormat="false" ht="15" hidden="false" customHeight="false" outlineLevel="0" collapsed="false">
      <c r="A762" s="30" t="n">
        <v>46280.9194444444</v>
      </c>
      <c r="B762" s="31" t="s">
        <v>74</v>
      </c>
      <c r="C762" s="31"/>
      <c r="D762" s="31" t="s">
        <v>82</v>
      </c>
      <c r="E762" s="31"/>
      <c r="F762" s="26" t="n">
        <f aca="false">INT(A762-4/24)</f>
        <v>46280</v>
      </c>
    </row>
    <row r="763" customFormat="false" ht="15" hidden="false" customHeight="false" outlineLevel="0" collapsed="false">
      <c r="A763" s="30" t="n">
        <v>46280.9722222222</v>
      </c>
      <c r="B763" s="31" t="s">
        <v>74</v>
      </c>
      <c r="C763" s="31"/>
      <c r="D763" s="31" t="s">
        <v>82</v>
      </c>
      <c r="E763" s="31"/>
      <c r="F763" s="26" t="n">
        <f aca="false">INT(A763-4/24)</f>
        <v>46280</v>
      </c>
    </row>
    <row r="764" customFormat="false" ht="15" hidden="false" customHeight="false" outlineLevel="0" collapsed="false">
      <c r="A764" s="30" t="n">
        <v>46280.9791666667</v>
      </c>
      <c r="B764" s="31" t="s">
        <v>77</v>
      </c>
      <c r="C764" s="31" t="n">
        <v>5</v>
      </c>
      <c r="D764" s="31"/>
      <c r="E764" s="31"/>
      <c r="F764" s="26" t="n">
        <f aca="false">INT(A764-4/24)</f>
        <v>46280</v>
      </c>
    </row>
    <row r="765" customFormat="false" ht="15" hidden="false" customHeight="false" outlineLevel="0" collapsed="false">
      <c r="A765" s="30" t="n">
        <v>46280.9965277778</v>
      </c>
      <c r="B765" s="31" t="s">
        <v>75</v>
      </c>
      <c r="C765" s="31"/>
      <c r="D765" s="31"/>
      <c r="E765" s="31"/>
      <c r="F765" s="26" t="n">
        <f aca="false">INT(A765-4/24)</f>
        <v>46280</v>
      </c>
    </row>
    <row r="766" customFormat="false" ht="15" hidden="false" customHeight="false" outlineLevel="0" collapsed="false">
      <c r="A766" s="30" t="n">
        <v>46281.0208333333</v>
      </c>
      <c r="B766" s="31" t="s">
        <v>20</v>
      </c>
      <c r="C766" s="31"/>
      <c r="D766" s="31"/>
      <c r="E766" s="31"/>
      <c r="F766" s="26" t="n">
        <f aca="false">INT(A766-4/24)</f>
        <v>46280</v>
      </c>
    </row>
    <row r="767" customFormat="false" ht="15" hidden="false" customHeight="false" outlineLevel="0" collapsed="false">
      <c r="A767" s="30" t="n">
        <v>46281.2708333333</v>
      </c>
      <c r="B767" s="31" t="s">
        <v>79</v>
      </c>
      <c r="C767" s="31"/>
      <c r="D767" s="31"/>
      <c r="E767" s="31"/>
      <c r="F767" s="26" t="n">
        <f aca="false">INT(A767-4/24)</f>
        <v>46281</v>
      </c>
    </row>
    <row r="768" customFormat="false" ht="15" hidden="false" customHeight="false" outlineLevel="0" collapsed="false">
      <c r="A768" s="30" t="n">
        <v>46281.28125</v>
      </c>
      <c r="B768" s="31" t="s">
        <v>74</v>
      </c>
      <c r="C768" s="31"/>
      <c r="D768" s="31" t="s">
        <v>82</v>
      </c>
      <c r="E768" s="31"/>
      <c r="F768" s="26" t="n">
        <f aca="false">INT(A768-4/24)</f>
        <v>46281</v>
      </c>
    </row>
    <row r="769" customFormat="false" ht="15" hidden="false" customHeight="false" outlineLevel="0" collapsed="false">
      <c r="A769" s="30" t="n">
        <v>46281.2847222222</v>
      </c>
      <c r="B769" s="31" t="s">
        <v>77</v>
      </c>
      <c r="C769" s="31" t="n">
        <v>5</v>
      </c>
      <c r="D769" s="31"/>
      <c r="E769" s="31"/>
      <c r="F769" s="26" t="n">
        <f aca="false">INT(A769-4/24)</f>
        <v>46281</v>
      </c>
    </row>
    <row r="770" customFormat="false" ht="15" hidden="false" customHeight="false" outlineLevel="0" collapsed="false">
      <c r="A770" s="30" t="n">
        <v>46281.3854166667</v>
      </c>
      <c r="B770" s="31" t="s">
        <v>75</v>
      </c>
      <c r="C770" s="31"/>
      <c r="D770" s="31"/>
      <c r="E770" s="31"/>
      <c r="F770" s="26" t="n">
        <f aca="false">INT(A770-4/24)</f>
        <v>46281</v>
      </c>
    </row>
    <row r="771" customFormat="false" ht="15" hidden="false" customHeight="false" outlineLevel="0" collapsed="false">
      <c r="A771" s="30" t="n">
        <v>46281.4131944445</v>
      </c>
      <c r="B771" s="31" t="s">
        <v>74</v>
      </c>
      <c r="C771" s="31"/>
      <c r="D771" s="31" t="s">
        <v>82</v>
      </c>
      <c r="E771" s="31"/>
      <c r="F771" s="26" t="n">
        <f aca="false">INT(A771-4/24)</f>
        <v>46281</v>
      </c>
    </row>
    <row r="772" customFormat="false" ht="15" hidden="false" customHeight="false" outlineLevel="0" collapsed="false">
      <c r="A772" s="30" t="n">
        <v>46281.4201388889</v>
      </c>
      <c r="B772" s="31" t="s">
        <v>77</v>
      </c>
      <c r="C772" s="31" t="n">
        <v>5</v>
      </c>
      <c r="D772" s="31"/>
      <c r="E772" s="31"/>
      <c r="F772" s="26" t="n">
        <f aca="false">INT(A772-4/24)</f>
        <v>46281</v>
      </c>
    </row>
    <row r="773" customFormat="false" ht="15" hidden="false" customHeight="false" outlineLevel="0" collapsed="false">
      <c r="A773" s="30" t="n">
        <v>46281.4722222222</v>
      </c>
      <c r="B773" s="31" t="s">
        <v>74</v>
      </c>
      <c r="C773" s="31"/>
      <c r="D773" s="31" t="s">
        <v>82</v>
      </c>
      <c r="E773" s="31"/>
      <c r="F773" s="26" t="n">
        <f aca="false">INT(A773-4/24)</f>
        <v>46281</v>
      </c>
    </row>
    <row r="774" customFormat="false" ht="15" hidden="false" customHeight="false" outlineLevel="0" collapsed="false">
      <c r="A774" s="30" t="n">
        <v>46281.5923611111</v>
      </c>
      <c r="B774" s="31" t="s">
        <v>77</v>
      </c>
      <c r="C774" s="31" t="n">
        <v>6</v>
      </c>
      <c r="D774" s="31"/>
      <c r="E774" s="31"/>
      <c r="F774" s="26" t="n">
        <f aca="false">INT(A774-4/24)</f>
        <v>46281</v>
      </c>
    </row>
    <row r="775" customFormat="false" ht="15" hidden="false" customHeight="false" outlineLevel="0" collapsed="false">
      <c r="A775" s="30" t="n">
        <v>46281.5923611111</v>
      </c>
      <c r="B775" s="31" t="s">
        <v>74</v>
      </c>
      <c r="C775" s="31"/>
      <c r="D775" s="31" t="s">
        <v>82</v>
      </c>
      <c r="E775" s="31"/>
      <c r="F775" s="26" t="n">
        <f aca="false">INT(A775-4/24)</f>
        <v>46281</v>
      </c>
    </row>
    <row r="776" customFormat="false" ht="15" hidden="false" customHeight="false" outlineLevel="0" collapsed="false">
      <c r="A776" s="30" t="n">
        <v>46281.6180555556</v>
      </c>
      <c r="B776" s="31" t="s">
        <v>74</v>
      </c>
      <c r="C776" s="31"/>
      <c r="D776" s="31" t="s">
        <v>84</v>
      </c>
      <c r="E776" s="31"/>
      <c r="F776" s="26" t="n">
        <f aca="false">INT(A776-4/24)</f>
        <v>46281</v>
      </c>
    </row>
    <row r="777" customFormat="false" ht="15" hidden="false" customHeight="false" outlineLevel="0" collapsed="false">
      <c r="A777" s="30" t="n">
        <v>46281.7069444444</v>
      </c>
      <c r="B777" s="31" t="s">
        <v>74</v>
      </c>
      <c r="C777" s="31"/>
      <c r="D777" s="31" t="s">
        <v>82</v>
      </c>
      <c r="E777" s="31"/>
      <c r="F777" s="26" t="n">
        <f aca="false">INT(A777-4/24)</f>
        <v>46281</v>
      </c>
    </row>
    <row r="778" customFormat="false" ht="15" hidden="false" customHeight="false" outlineLevel="0" collapsed="false">
      <c r="A778" s="30" t="n">
        <v>46281.7152777778</v>
      </c>
      <c r="B778" s="31" t="s">
        <v>75</v>
      </c>
      <c r="C778" s="31"/>
      <c r="D778" s="31"/>
      <c r="E778" s="31"/>
      <c r="F778" s="26" t="n">
        <f aca="false">INT(A778-4/24)</f>
        <v>46281</v>
      </c>
    </row>
    <row r="779" customFormat="false" ht="15" hidden="false" customHeight="false" outlineLevel="0" collapsed="false">
      <c r="A779" s="30" t="n">
        <v>46281.7152777778</v>
      </c>
      <c r="B779" s="31" t="s">
        <v>77</v>
      </c>
      <c r="C779" s="31" t="n">
        <v>5</v>
      </c>
      <c r="D779" s="31"/>
      <c r="E779" s="31"/>
      <c r="F779" s="26" t="n">
        <f aca="false">INT(A779-4/24)</f>
        <v>46281</v>
      </c>
    </row>
    <row r="780" customFormat="false" ht="15" hidden="false" customHeight="false" outlineLevel="0" collapsed="false">
      <c r="A780" s="30" t="n">
        <v>46281.7256944445</v>
      </c>
      <c r="B780" s="31" t="s">
        <v>80</v>
      </c>
      <c r="C780" s="31"/>
      <c r="D780" s="31"/>
      <c r="E780" s="31"/>
      <c r="F780" s="26" t="n">
        <f aca="false">INT(A780-4/24)</f>
        <v>46281</v>
      </c>
    </row>
    <row r="781" customFormat="false" ht="15" hidden="false" customHeight="false" outlineLevel="0" collapsed="false">
      <c r="A781" s="30" t="n">
        <v>46281.7569444445</v>
      </c>
      <c r="B781" s="31" t="s">
        <v>81</v>
      </c>
      <c r="C781" s="31"/>
      <c r="D781" s="31"/>
      <c r="E781" s="31"/>
      <c r="F781" s="26" t="n">
        <f aca="false">INT(A781-4/24)</f>
        <v>46281</v>
      </c>
    </row>
    <row r="782" customFormat="false" ht="15" hidden="false" customHeight="false" outlineLevel="0" collapsed="false">
      <c r="A782" s="30" t="n">
        <v>46281.8298611111</v>
      </c>
      <c r="B782" s="31" t="s">
        <v>74</v>
      </c>
      <c r="C782" s="31"/>
      <c r="D782" s="31" t="s">
        <v>82</v>
      </c>
      <c r="E782" s="31"/>
      <c r="F782" s="26" t="n">
        <f aca="false">INT(A782-4/24)</f>
        <v>46281</v>
      </c>
    </row>
    <row r="783" customFormat="false" ht="15" hidden="false" customHeight="false" outlineLevel="0" collapsed="false">
      <c r="A783" s="30" t="n">
        <v>46281.8479166667</v>
      </c>
      <c r="B783" s="31" t="s">
        <v>77</v>
      </c>
      <c r="C783" s="31" t="n">
        <v>5</v>
      </c>
      <c r="D783" s="31"/>
      <c r="E783" s="31"/>
      <c r="F783" s="26" t="n">
        <f aca="false">INT(A783-4/24)</f>
        <v>46281</v>
      </c>
    </row>
    <row r="784" customFormat="false" ht="15" hidden="false" customHeight="false" outlineLevel="0" collapsed="false">
      <c r="A784" s="30" t="n">
        <v>46281.9576388889</v>
      </c>
      <c r="B784" s="31" t="s">
        <v>74</v>
      </c>
      <c r="C784" s="31"/>
      <c r="D784" s="31" t="s">
        <v>82</v>
      </c>
      <c r="E784" s="31"/>
      <c r="F784" s="26" t="n">
        <f aca="false">INT(A784-4/24)</f>
        <v>46281</v>
      </c>
    </row>
    <row r="785" customFormat="false" ht="15" hidden="false" customHeight="false" outlineLevel="0" collapsed="false">
      <c r="A785" s="30" t="n">
        <v>46282.0208333333</v>
      </c>
      <c r="B785" s="31" t="s">
        <v>75</v>
      </c>
      <c r="C785" s="31"/>
      <c r="D785" s="31"/>
      <c r="E785" s="31"/>
      <c r="F785" s="26" t="n">
        <f aca="false">INT(A785-4/24)</f>
        <v>46281</v>
      </c>
    </row>
    <row r="786" customFormat="false" ht="15" hidden="false" customHeight="false" outlineLevel="0" collapsed="false">
      <c r="A786" s="30" t="n">
        <v>46282.03125</v>
      </c>
      <c r="B786" s="31" t="s">
        <v>20</v>
      </c>
      <c r="C786" s="31"/>
      <c r="D786" s="31"/>
      <c r="E786" s="31"/>
      <c r="F786" s="26" t="n">
        <f aca="false">INT(A786-4/24)</f>
        <v>46281</v>
      </c>
    </row>
    <row r="787" customFormat="false" ht="15" hidden="false" customHeight="false" outlineLevel="0" collapsed="false">
      <c r="A787" s="30" t="n">
        <v>46282.28125</v>
      </c>
      <c r="B787" s="31" t="s">
        <v>79</v>
      </c>
      <c r="C787" s="31"/>
      <c r="D787" s="31"/>
      <c r="E787" s="31"/>
      <c r="F787" s="26" t="n">
        <f aca="false">INT(A787-4/24)</f>
        <v>46282</v>
      </c>
    </row>
    <row r="788" customFormat="false" ht="15" hidden="false" customHeight="false" outlineLevel="0" collapsed="false">
      <c r="A788" s="30" t="n">
        <v>46282.2916666667</v>
      </c>
      <c r="B788" s="31" t="s">
        <v>74</v>
      </c>
      <c r="C788" s="31"/>
      <c r="D788" s="31" t="s">
        <v>82</v>
      </c>
      <c r="E788" s="31"/>
      <c r="F788" s="26" t="n">
        <f aca="false">INT(A788-4/24)</f>
        <v>46282</v>
      </c>
    </row>
    <row r="789" customFormat="false" ht="15" hidden="false" customHeight="false" outlineLevel="0" collapsed="false">
      <c r="A789" s="30" t="n">
        <v>46282.2930555556</v>
      </c>
      <c r="B789" s="31" t="s">
        <v>77</v>
      </c>
      <c r="C789" s="31" t="n">
        <v>5</v>
      </c>
      <c r="D789" s="31"/>
      <c r="E789" s="31"/>
      <c r="F789" s="26" t="n">
        <f aca="false">INT(A789-4/24)</f>
        <v>46282</v>
      </c>
    </row>
    <row r="790" customFormat="false" ht="15" hidden="false" customHeight="false" outlineLevel="0" collapsed="false">
      <c r="A790" s="30" t="n">
        <v>46282.3333333333</v>
      </c>
      <c r="B790" s="31" t="s">
        <v>80</v>
      </c>
      <c r="C790" s="31"/>
      <c r="D790" s="31"/>
      <c r="E790" s="31"/>
      <c r="F790" s="26" t="n">
        <f aca="false">INT(A790-4/24)</f>
        <v>46282</v>
      </c>
    </row>
    <row r="791" customFormat="false" ht="15" hidden="false" customHeight="false" outlineLevel="0" collapsed="false">
      <c r="A791" s="30" t="n">
        <v>46282.4513888889</v>
      </c>
      <c r="B791" s="31" t="s">
        <v>81</v>
      </c>
      <c r="C791" s="31"/>
      <c r="D791" s="31"/>
      <c r="E791" s="31"/>
      <c r="F791" s="26" t="n">
        <f aca="false">INT(A791-4/24)</f>
        <v>46282</v>
      </c>
    </row>
    <row r="792" customFormat="false" ht="15" hidden="false" customHeight="false" outlineLevel="0" collapsed="false">
      <c r="A792" s="30" t="n">
        <v>46282.4583333333</v>
      </c>
      <c r="B792" s="31" t="s">
        <v>74</v>
      </c>
      <c r="C792" s="31"/>
      <c r="D792" s="31" t="s">
        <v>82</v>
      </c>
      <c r="E792" s="31"/>
      <c r="F792" s="26" t="n">
        <f aca="false">INT(A792-4/24)</f>
        <v>46282</v>
      </c>
    </row>
    <row r="793" customFormat="false" ht="15" hidden="false" customHeight="false" outlineLevel="0" collapsed="false">
      <c r="A793" s="30" t="n">
        <v>46282.4652777778</v>
      </c>
      <c r="B793" s="31" t="s">
        <v>75</v>
      </c>
      <c r="C793" s="31"/>
      <c r="D793" s="31"/>
      <c r="E793" s="31"/>
      <c r="F793" s="26" t="n">
        <f aca="false">INT(A793-4/24)</f>
        <v>46282</v>
      </c>
    </row>
    <row r="794" customFormat="false" ht="15" hidden="false" customHeight="false" outlineLevel="0" collapsed="false">
      <c r="A794" s="30" t="n">
        <v>46282.4756944445</v>
      </c>
      <c r="B794" s="31" t="s">
        <v>77</v>
      </c>
      <c r="C794" s="31" t="n">
        <v>5</v>
      </c>
      <c r="D794" s="31"/>
      <c r="E794" s="31"/>
      <c r="F794" s="26" t="n">
        <f aca="false">INT(A794-4/24)</f>
        <v>46282</v>
      </c>
    </row>
    <row r="795" customFormat="false" ht="15" hidden="false" customHeight="false" outlineLevel="0" collapsed="false">
      <c r="A795" s="30" t="n">
        <v>46282.5486111111</v>
      </c>
      <c r="B795" s="31" t="s">
        <v>74</v>
      </c>
      <c r="C795" s="31"/>
      <c r="D795" s="31" t="s">
        <v>84</v>
      </c>
      <c r="E795" s="31"/>
      <c r="F795" s="26" t="n">
        <f aca="false">INT(A795-4/24)</f>
        <v>46282</v>
      </c>
    </row>
    <row r="796" customFormat="false" ht="15" hidden="false" customHeight="false" outlineLevel="0" collapsed="false">
      <c r="A796" s="30" t="n">
        <v>46282.6208333333</v>
      </c>
      <c r="B796" s="31" t="s">
        <v>77</v>
      </c>
      <c r="C796" s="31" t="n">
        <v>5</v>
      </c>
      <c r="D796" s="31"/>
      <c r="E796" s="31"/>
      <c r="F796" s="26" t="n">
        <f aca="false">INT(A796-4/24)</f>
        <v>46282</v>
      </c>
    </row>
    <row r="797" customFormat="false" ht="15" hidden="false" customHeight="false" outlineLevel="0" collapsed="false">
      <c r="A797" s="30" t="n">
        <v>46282.75</v>
      </c>
      <c r="B797" s="31" t="s">
        <v>74</v>
      </c>
      <c r="C797" s="31"/>
      <c r="D797" s="31" t="s">
        <v>83</v>
      </c>
      <c r="E797" s="31"/>
      <c r="F797" s="26" t="n">
        <f aca="false">INT(A797-4/24)</f>
        <v>46282</v>
      </c>
    </row>
    <row r="798" customFormat="false" ht="15" hidden="false" customHeight="false" outlineLevel="0" collapsed="false">
      <c r="A798" s="30" t="n">
        <v>46282.7604166667</v>
      </c>
      <c r="B798" s="31" t="s">
        <v>75</v>
      </c>
      <c r="C798" s="31"/>
      <c r="D798" s="31"/>
      <c r="E798" s="31"/>
      <c r="F798" s="26" t="n">
        <f aca="false">INT(A798-4/24)</f>
        <v>46282</v>
      </c>
    </row>
    <row r="799" customFormat="false" ht="15" hidden="false" customHeight="false" outlineLevel="0" collapsed="false">
      <c r="A799" s="30" t="n">
        <v>46282.7638888889</v>
      </c>
      <c r="B799" s="31" t="s">
        <v>77</v>
      </c>
      <c r="C799" s="31" t="n">
        <v>5</v>
      </c>
      <c r="D799" s="31"/>
      <c r="E799" s="31"/>
      <c r="F799" s="26" t="n">
        <f aca="false">INT(A799-4/24)</f>
        <v>46282</v>
      </c>
    </row>
    <row r="800" customFormat="false" ht="15" hidden="false" customHeight="false" outlineLevel="0" collapsed="false">
      <c r="A800" s="30" t="n">
        <v>46282.7777777778</v>
      </c>
      <c r="B800" s="31" t="s">
        <v>80</v>
      </c>
      <c r="C800" s="31"/>
      <c r="D800" s="31"/>
      <c r="E800" s="31"/>
      <c r="F800" s="26" t="n">
        <f aca="false">INT(A800-4/24)</f>
        <v>46282</v>
      </c>
    </row>
    <row r="801" customFormat="false" ht="15" hidden="false" customHeight="false" outlineLevel="0" collapsed="false">
      <c r="A801" s="30" t="n">
        <v>46282.8201388889</v>
      </c>
      <c r="B801" s="31" t="s">
        <v>81</v>
      </c>
      <c r="C801" s="31"/>
      <c r="D801" s="31"/>
      <c r="E801" s="31"/>
      <c r="F801" s="26" t="n">
        <f aca="false">INT(A801-4/24)</f>
        <v>46282</v>
      </c>
    </row>
    <row r="802" customFormat="false" ht="15" hidden="false" customHeight="false" outlineLevel="0" collapsed="false">
      <c r="A802" s="30" t="n">
        <v>46282.84375</v>
      </c>
      <c r="B802" s="31" t="s">
        <v>74</v>
      </c>
      <c r="C802" s="31"/>
      <c r="D802" s="31" t="s">
        <v>84</v>
      </c>
      <c r="E802" s="31"/>
      <c r="F802" s="26" t="n">
        <f aca="false">INT(A802-4/24)</f>
        <v>46282</v>
      </c>
    </row>
    <row r="803" customFormat="false" ht="15" hidden="false" customHeight="false" outlineLevel="0" collapsed="false">
      <c r="A803" s="30" t="n">
        <v>46282.9055555556</v>
      </c>
      <c r="B803" s="31" t="s">
        <v>77</v>
      </c>
      <c r="C803" s="31" t="n">
        <v>5</v>
      </c>
      <c r="D803" s="31"/>
      <c r="E803" s="31"/>
      <c r="F803" s="26" t="n">
        <f aca="false">INT(A803-4/24)</f>
        <v>46282</v>
      </c>
    </row>
    <row r="804" customFormat="false" ht="15" hidden="false" customHeight="false" outlineLevel="0" collapsed="false">
      <c r="A804" s="30" t="n">
        <v>46282.9965277778</v>
      </c>
      <c r="B804" s="31" t="s">
        <v>74</v>
      </c>
      <c r="C804" s="31"/>
      <c r="D804" s="31" t="s">
        <v>82</v>
      </c>
      <c r="E804" s="31"/>
      <c r="F804" s="26" t="n">
        <f aca="false">INT(A804-4/24)</f>
        <v>46282</v>
      </c>
    </row>
    <row r="805" customFormat="false" ht="15" hidden="false" customHeight="false" outlineLevel="0" collapsed="false">
      <c r="A805" s="30" t="n">
        <v>46283.0048611111</v>
      </c>
      <c r="B805" s="31" t="s">
        <v>75</v>
      </c>
      <c r="C805" s="31"/>
      <c r="D805" s="31"/>
      <c r="E805" s="31"/>
      <c r="F805" s="26" t="n">
        <f aca="false">INT(A805-4/24)</f>
        <v>46282</v>
      </c>
    </row>
    <row r="806" customFormat="false" ht="15" hidden="false" customHeight="false" outlineLevel="0" collapsed="false">
      <c r="A806" s="30" t="n">
        <v>46283.0048611111</v>
      </c>
      <c r="B806" s="31" t="s">
        <v>77</v>
      </c>
      <c r="C806" s="31" t="n">
        <v>5</v>
      </c>
      <c r="D806" s="31"/>
      <c r="E806" s="31"/>
      <c r="F806" s="26" t="n">
        <f aca="false">INT(A806-4/24)</f>
        <v>46282</v>
      </c>
    </row>
    <row r="807" customFormat="false" ht="15" hidden="false" customHeight="false" outlineLevel="0" collapsed="false">
      <c r="A807" s="30" t="n">
        <v>46283.0416666667</v>
      </c>
      <c r="B807" s="31" t="s">
        <v>20</v>
      </c>
      <c r="C807" s="31"/>
      <c r="D807" s="31"/>
      <c r="E807" s="31"/>
      <c r="F807" s="26" t="n">
        <f aca="false">INT(A807-4/24)</f>
        <v>46282</v>
      </c>
    </row>
    <row r="808" customFormat="false" ht="15" hidden="false" customHeight="false" outlineLevel="0" collapsed="false">
      <c r="A808" s="30" t="n">
        <v>46283.3333333333</v>
      </c>
      <c r="B808" s="31" t="s">
        <v>79</v>
      </c>
      <c r="C808" s="31"/>
      <c r="D808" s="31"/>
      <c r="E808" s="31"/>
      <c r="F808" s="26" t="n">
        <f aca="false">INT(A808-4/24)</f>
        <v>46283</v>
      </c>
    </row>
    <row r="809" customFormat="false" ht="15" hidden="false" customHeight="false" outlineLevel="0" collapsed="false">
      <c r="A809" s="30" t="n">
        <v>46283.3402777778</v>
      </c>
      <c r="B809" s="31" t="s">
        <v>74</v>
      </c>
      <c r="C809" s="31"/>
      <c r="D809" s="31" t="s">
        <v>82</v>
      </c>
      <c r="E809" s="31"/>
      <c r="F809" s="26" t="n">
        <f aca="false">INT(A809-4/24)</f>
        <v>46283</v>
      </c>
    </row>
    <row r="810" customFormat="false" ht="15" hidden="false" customHeight="false" outlineLevel="0" collapsed="false">
      <c r="A810" s="30" t="n">
        <v>46283.35</v>
      </c>
      <c r="B810" s="31" t="s">
        <v>77</v>
      </c>
      <c r="C810" s="31" t="n">
        <v>5</v>
      </c>
      <c r="D810" s="31"/>
      <c r="E810" s="31"/>
      <c r="F810" s="26" t="n">
        <f aca="false">INT(A810-4/24)</f>
        <v>46283</v>
      </c>
    </row>
    <row r="811" customFormat="false" ht="15" hidden="false" customHeight="false" outlineLevel="0" collapsed="false">
      <c r="A811" s="30" t="n">
        <v>46283.3645833333</v>
      </c>
      <c r="B811" s="31" t="s">
        <v>75</v>
      </c>
      <c r="C811" s="31"/>
      <c r="D811" s="31"/>
      <c r="E811" s="31"/>
      <c r="F811" s="26" t="n">
        <f aca="false">INT(A811-4/24)</f>
        <v>46283</v>
      </c>
    </row>
    <row r="812" customFormat="false" ht="15" hidden="false" customHeight="false" outlineLevel="0" collapsed="false">
      <c r="A812" s="30" t="n">
        <v>46283.4479166667</v>
      </c>
      <c r="B812" s="31" t="s">
        <v>77</v>
      </c>
      <c r="C812" s="31" t="n">
        <v>6</v>
      </c>
      <c r="D812" s="31"/>
      <c r="E812" s="31"/>
      <c r="F812" s="26" t="n">
        <f aca="false">INT(A812-4/24)</f>
        <v>46283</v>
      </c>
    </row>
    <row r="813" customFormat="false" ht="15" hidden="false" customHeight="false" outlineLevel="0" collapsed="false">
      <c r="A813" s="30" t="n">
        <v>46283.4930555556</v>
      </c>
      <c r="B813" s="31" t="s">
        <v>74</v>
      </c>
      <c r="C813" s="31"/>
      <c r="D813" s="31" t="s">
        <v>84</v>
      </c>
      <c r="E813" s="31"/>
      <c r="F813" s="26" t="n">
        <f aca="false">INT(A813-4/24)</f>
        <v>46283</v>
      </c>
    </row>
    <row r="814" customFormat="false" ht="15" hidden="false" customHeight="false" outlineLevel="0" collapsed="false">
      <c r="A814" s="30" t="n">
        <v>46283.6263888889</v>
      </c>
      <c r="B814" s="31" t="s">
        <v>74</v>
      </c>
      <c r="C814" s="31"/>
      <c r="D814" s="31" t="s">
        <v>82</v>
      </c>
      <c r="E814" s="31"/>
      <c r="F814" s="26" t="n">
        <f aca="false">INT(A814-4/24)</f>
        <v>46283</v>
      </c>
    </row>
    <row r="815" customFormat="false" ht="15" hidden="false" customHeight="false" outlineLevel="0" collapsed="false">
      <c r="A815" s="30" t="n">
        <v>46283.6430555556</v>
      </c>
      <c r="B815" s="31" t="s">
        <v>77</v>
      </c>
      <c r="C815" s="31" t="n">
        <v>6</v>
      </c>
      <c r="D815" s="31"/>
      <c r="E815" s="31"/>
      <c r="F815" s="26" t="n">
        <f aca="false">INT(A815-4/24)</f>
        <v>46283</v>
      </c>
    </row>
    <row r="816" customFormat="false" ht="15" hidden="false" customHeight="false" outlineLevel="0" collapsed="false">
      <c r="A816" s="30" t="n">
        <v>46283.7770833333</v>
      </c>
      <c r="B816" s="31" t="s">
        <v>75</v>
      </c>
      <c r="C816" s="31"/>
      <c r="D816" s="31"/>
      <c r="E816" s="31"/>
      <c r="F816" s="26" t="n">
        <f aca="false">INT(A816-4/24)</f>
        <v>46283</v>
      </c>
    </row>
    <row r="817" customFormat="false" ht="15" hidden="false" customHeight="false" outlineLevel="0" collapsed="false">
      <c r="A817" s="30" t="n">
        <v>46283.78125</v>
      </c>
      <c r="B817" s="31" t="s">
        <v>77</v>
      </c>
      <c r="C817" s="31" t="n">
        <v>6</v>
      </c>
      <c r="D817" s="31"/>
      <c r="E817" s="31"/>
      <c r="F817" s="26" t="n">
        <f aca="false">INT(A817-4/24)</f>
        <v>46283</v>
      </c>
    </row>
    <row r="818" customFormat="false" ht="15" hidden="false" customHeight="false" outlineLevel="0" collapsed="false">
      <c r="A818" s="30" t="n">
        <v>46283.8048611111</v>
      </c>
      <c r="B818" s="31" t="s">
        <v>74</v>
      </c>
      <c r="C818" s="31"/>
      <c r="D818" s="31" t="s">
        <v>82</v>
      </c>
      <c r="E818" s="31"/>
      <c r="F818" s="26" t="n">
        <f aca="false">INT(A818-4/24)</f>
        <v>46283</v>
      </c>
    </row>
    <row r="819" customFormat="false" ht="15" hidden="false" customHeight="false" outlineLevel="0" collapsed="false">
      <c r="A819" s="30" t="n">
        <v>46283.9076388889</v>
      </c>
      <c r="B819" s="31" t="s">
        <v>74</v>
      </c>
      <c r="C819" s="31"/>
      <c r="D819" s="31" t="s">
        <v>84</v>
      </c>
      <c r="E819" s="31"/>
      <c r="F819" s="26" t="n">
        <f aca="false">INT(A819-4/24)</f>
        <v>46283</v>
      </c>
    </row>
    <row r="820" customFormat="false" ht="15" hidden="false" customHeight="false" outlineLevel="0" collapsed="false">
      <c r="A820" s="30" t="n">
        <v>46283.9138888889</v>
      </c>
      <c r="B820" s="31" t="s">
        <v>77</v>
      </c>
      <c r="C820" s="31" t="n">
        <v>5</v>
      </c>
      <c r="D820" s="31"/>
      <c r="E820" s="31"/>
      <c r="F820" s="26" t="n">
        <f aca="false">INT(A820-4/24)</f>
        <v>46283</v>
      </c>
    </row>
    <row r="821" customFormat="false" ht="15" hidden="false" customHeight="false" outlineLevel="0" collapsed="false">
      <c r="A821" s="30" t="n">
        <v>46283.9868055556</v>
      </c>
      <c r="B821" s="31" t="s">
        <v>77</v>
      </c>
      <c r="C821" s="31" t="n">
        <v>5</v>
      </c>
      <c r="D821" s="31"/>
      <c r="E821" s="31"/>
      <c r="F821" s="26" t="n">
        <f aca="false">INT(A821-4/24)</f>
        <v>46283</v>
      </c>
    </row>
    <row r="822" customFormat="false" ht="15" hidden="false" customHeight="false" outlineLevel="0" collapsed="false">
      <c r="A822" s="30" t="n">
        <v>46283.9965277778</v>
      </c>
      <c r="B822" s="31" t="s">
        <v>80</v>
      </c>
      <c r="C822" s="31"/>
      <c r="D822" s="31"/>
      <c r="E822" s="31"/>
      <c r="F822" s="26" t="n">
        <f aca="false">INT(A822-4/24)</f>
        <v>46283</v>
      </c>
    </row>
    <row r="823" customFormat="false" ht="15" hidden="false" customHeight="false" outlineLevel="0" collapsed="false">
      <c r="A823" s="30" t="n">
        <v>46284.0347222222</v>
      </c>
      <c r="B823" s="31" t="s">
        <v>75</v>
      </c>
      <c r="C823" s="31"/>
      <c r="D823" s="31"/>
      <c r="E823" s="31"/>
      <c r="F823" s="26" t="n">
        <f aca="false">INT(A823-4/24)</f>
        <v>46283</v>
      </c>
    </row>
    <row r="824" customFormat="false" ht="15" hidden="false" customHeight="false" outlineLevel="0" collapsed="false">
      <c r="A824" s="30" t="n">
        <v>46284.0375</v>
      </c>
      <c r="B824" s="31" t="s">
        <v>81</v>
      </c>
      <c r="C824" s="31"/>
      <c r="D824" s="31"/>
      <c r="E824" s="31"/>
      <c r="F824" s="26" t="n">
        <f aca="false">INT(A824-4/24)</f>
        <v>46283</v>
      </c>
    </row>
    <row r="825" customFormat="false" ht="15" hidden="false" customHeight="false" outlineLevel="0" collapsed="false">
      <c r="A825" s="30" t="n">
        <v>46284.0375</v>
      </c>
      <c r="B825" s="31" t="s">
        <v>20</v>
      </c>
      <c r="C825" s="31"/>
      <c r="D825" s="31"/>
      <c r="E825" s="31"/>
      <c r="F825" s="26" t="n">
        <f aca="false">INT(A825-4/24)</f>
        <v>46283</v>
      </c>
    </row>
    <row r="826" customFormat="false" ht="15" hidden="false" customHeight="false" outlineLevel="0" collapsed="false">
      <c r="A826" s="30" t="n">
        <v>46284.3375</v>
      </c>
      <c r="B826" s="31" t="s">
        <v>79</v>
      </c>
      <c r="C826" s="31"/>
      <c r="D826" s="31"/>
      <c r="E826" s="31"/>
      <c r="F826" s="26" t="n">
        <f aca="false">INT(A826-4/24)</f>
        <v>46284</v>
      </c>
    </row>
    <row r="827" customFormat="false" ht="15" hidden="false" customHeight="false" outlineLevel="0" collapsed="false">
      <c r="A827" s="30" t="n">
        <v>46284.3472222222</v>
      </c>
      <c r="B827" s="31" t="s">
        <v>74</v>
      </c>
      <c r="C827" s="31"/>
      <c r="D827" s="31" t="s">
        <v>82</v>
      </c>
      <c r="E827" s="31"/>
      <c r="F827" s="26" t="n">
        <f aca="false">INT(A827-4/24)</f>
        <v>46284</v>
      </c>
    </row>
    <row r="828" customFormat="false" ht="15" hidden="false" customHeight="false" outlineLevel="0" collapsed="false">
      <c r="A828" s="30" t="n">
        <v>46284.3569444444</v>
      </c>
      <c r="B828" s="31" t="s">
        <v>75</v>
      </c>
      <c r="C828" s="31"/>
      <c r="D828" s="31"/>
      <c r="E828" s="31"/>
      <c r="F828" s="26" t="n">
        <f aca="false">INT(A828-4/24)</f>
        <v>46284</v>
      </c>
    </row>
    <row r="829" customFormat="false" ht="15" hidden="false" customHeight="false" outlineLevel="0" collapsed="false">
      <c r="A829" s="30" t="n">
        <v>46284.3569444444</v>
      </c>
      <c r="B829" s="31" t="s">
        <v>77</v>
      </c>
      <c r="C829" s="31" t="n">
        <v>5</v>
      </c>
      <c r="D829" s="31"/>
      <c r="E829" s="31"/>
      <c r="F829" s="26" t="n">
        <f aca="false">INT(A829-4/24)</f>
        <v>46284</v>
      </c>
    </row>
    <row r="830" customFormat="false" ht="15" hidden="false" customHeight="false" outlineLevel="0" collapsed="false">
      <c r="A830" s="30" t="n">
        <v>46284.4111111111</v>
      </c>
      <c r="B830" s="31" t="s">
        <v>80</v>
      </c>
      <c r="C830" s="31"/>
      <c r="D830" s="31"/>
      <c r="E830" s="31"/>
      <c r="F830" s="26" t="n">
        <f aca="false">INT(A830-4/24)</f>
        <v>46284</v>
      </c>
    </row>
    <row r="831" customFormat="false" ht="15" hidden="false" customHeight="false" outlineLevel="0" collapsed="false">
      <c r="A831" s="30" t="n">
        <v>46284.43125</v>
      </c>
      <c r="B831" s="31" t="s">
        <v>81</v>
      </c>
      <c r="C831" s="31"/>
      <c r="D831" s="31"/>
      <c r="E831" s="31"/>
      <c r="F831" s="26" t="n">
        <f aca="false">INT(A831-4/24)</f>
        <v>46284</v>
      </c>
    </row>
    <row r="832" customFormat="false" ht="15" hidden="false" customHeight="false" outlineLevel="0" collapsed="false">
      <c r="A832" s="30" t="n">
        <v>46284.4722222222</v>
      </c>
      <c r="B832" s="31" t="s">
        <v>74</v>
      </c>
      <c r="C832" s="31"/>
      <c r="D832" s="31" t="s">
        <v>84</v>
      </c>
      <c r="E832" s="31"/>
      <c r="F832" s="26" t="n">
        <f aca="false">INT(A832-4/24)</f>
        <v>46284</v>
      </c>
    </row>
    <row r="833" customFormat="false" ht="15" hidden="false" customHeight="false" outlineLevel="0" collapsed="false">
      <c r="A833" s="30" t="n">
        <v>46284.4826388889</v>
      </c>
      <c r="B833" s="31" t="s">
        <v>77</v>
      </c>
      <c r="C833" s="31" t="n">
        <v>5</v>
      </c>
      <c r="D833" s="31"/>
      <c r="E833" s="31"/>
      <c r="F833" s="26" t="n">
        <f aca="false">INT(A833-4/24)</f>
        <v>46284</v>
      </c>
    </row>
    <row r="834" customFormat="false" ht="15" hidden="false" customHeight="false" outlineLevel="0" collapsed="false">
      <c r="A834" s="30" t="n">
        <v>46284.4930555556</v>
      </c>
      <c r="B834" s="31" t="s">
        <v>80</v>
      </c>
      <c r="C834" s="31"/>
      <c r="D834" s="31"/>
      <c r="E834" s="31"/>
      <c r="F834" s="26" t="n">
        <f aca="false">INT(A834-4/24)</f>
        <v>46284</v>
      </c>
    </row>
    <row r="835" customFormat="false" ht="15" hidden="false" customHeight="false" outlineLevel="0" collapsed="false">
      <c r="A835" s="30" t="n">
        <v>46284.5881944444</v>
      </c>
      <c r="B835" s="31" t="s">
        <v>81</v>
      </c>
      <c r="C835" s="31"/>
      <c r="D835" s="31"/>
      <c r="E835" s="31"/>
      <c r="F835" s="26" t="n">
        <f aca="false">INT(A835-4/24)</f>
        <v>46284</v>
      </c>
    </row>
    <row r="836" customFormat="false" ht="15" hidden="false" customHeight="false" outlineLevel="0" collapsed="false">
      <c r="A836" s="30" t="n">
        <v>46284.5902777778</v>
      </c>
      <c r="B836" s="31" t="s">
        <v>74</v>
      </c>
      <c r="C836" s="31"/>
      <c r="D836" s="31" t="s">
        <v>82</v>
      </c>
      <c r="E836" s="31"/>
      <c r="F836" s="26" t="n">
        <f aca="false">INT(A836-4/24)</f>
        <v>46284</v>
      </c>
    </row>
    <row r="837" customFormat="false" ht="15" hidden="false" customHeight="false" outlineLevel="0" collapsed="false">
      <c r="A837" s="30" t="n">
        <v>46284.6131944444</v>
      </c>
      <c r="B837" s="31" t="s">
        <v>77</v>
      </c>
      <c r="C837" s="31" t="n">
        <v>5</v>
      </c>
      <c r="D837" s="31"/>
      <c r="E837" s="31"/>
      <c r="F837" s="26" t="n">
        <f aca="false">INT(A837-4/24)</f>
        <v>46284</v>
      </c>
    </row>
    <row r="838" customFormat="false" ht="15" hidden="false" customHeight="false" outlineLevel="0" collapsed="false">
      <c r="A838" s="30" t="n">
        <v>46284.7097222222</v>
      </c>
      <c r="B838" s="31" t="s">
        <v>74</v>
      </c>
      <c r="C838" s="31"/>
      <c r="D838" s="31" t="s">
        <v>82</v>
      </c>
      <c r="E838" s="31"/>
      <c r="F838" s="26" t="n">
        <f aca="false">INT(A838-4/24)</f>
        <v>46284</v>
      </c>
    </row>
    <row r="839" customFormat="false" ht="15" hidden="false" customHeight="false" outlineLevel="0" collapsed="false">
      <c r="A839" s="30" t="n">
        <v>46284.7409722222</v>
      </c>
      <c r="B839" s="31" t="s">
        <v>75</v>
      </c>
      <c r="C839" s="31"/>
      <c r="D839" s="31"/>
      <c r="E839" s="31"/>
      <c r="F839" s="26" t="n">
        <f aca="false">INT(A839-4/24)</f>
        <v>46284</v>
      </c>
    </row>
    <row r="840" customFormat="false" ht="15" hidden="false" customHeight="false" outlineLevel="0" collapsed="false">
      <c r="A840" s="30" t="n">
        <v>46284.7409722222</v>
      </c>
      <c r="B840" s="31" t="s">
        <v>74</v>
      </c>
      <c r="C840" s="31"/>
      <c r="D840" s="31" t="s">
        <v>84</v>
      </c>
      <c r="E840" s="31"/>
      <c r="F840" s="26" t="n">
        <f aca="false">INT(A840-4/24)</f>
        <v>46284</v>
      </c>
    </row>
    <row r="841" customFormat="false" ht="15" hidden="false" customHeight="false" outlineLevel="0" collapsed="false">
      <c r="A841" s="30" t="n">
        <v>46284.75</v>
      </c>
      <c r="B841" s="31" t="s">
        <v>77</v>
      </c>
      <c r="C841" s="31" t="n">
        <v>5</v>
      </c>
      <c r="D841" s="31"/>
      <c r="E841" s="31"/>
      <c r="F841" s="26" t="n">
        <f aca="false">INT(A841-4/24)</f>
        <v>46284</v>
      </c>
    </row>
    <row r="842" customFormat="false" ht="15" hidden="false" customHeight="false" outlineLevel="0" collapsed="false">
      <c r="A842" s="30" t="n">
        <v>46284.8423611111</v>
      </c>
      <c r="B842" s="31" t="s">
        <v>80</v>
      </c>
      <c r="C842" s="31"/>
      <c r="D842" s="31"/>
      <c r="E842" s="31"/>
      <c r="F842" s="26" t="n">
        <f aca="false">INT(A842-4/24)</f>
        <v>46284</v>
      </c>
    </row>
    <row r="843" customFormat="false" ht="15" hidden="false" customHeight="false" outlineLevel="0" collapsed="false">
      <c r="A843" s="30" t="n">
        <v>46284.8451388889</v>
      </c>
      <c r="B843" s="31" t="s">
        <v>74</v>
      </c>
      <c r="C843" s="31"/>
      <c r="D843" s="31" t="s">
        <v>82</v>
      </c>
      <c r="E843" s="31"/>
      <c r="F843" s="26" t="n">
        <f aca="false">INT(A843-4/24)</f>
        <v>46284</v>
      </c>
    </row>
    <row r="844" customFormat="false" ht="15" hidden="false" customHeight="false" outlineLevel="0" collapsed="false">
      <c r="A844" s="30" t="n">
        <v>46284.8472222222</v>
      </c>
      <c r="B844" s="31" t="s">
        <v>80</v>
      </c>
      <c r="C844" s="31"/>
      <c r="D844" s="31"/>
      <c r="E844" s="31"/>
      <c r="F844" s="26" t="n">
        <f aca="false">INT(A844-4/24)</f>
        <v>46284</v>
      </c>
    </row>
    <row r="845" customFormat="false" ht="15" hidden="false" customHeight="false" outlineLevel="0" collapsed="false">
      <c r="A845" s="30" t="n">
        <v>46284.8888888889</v>
      </c>
      <c r="B845" s="31" t="s">
        <v>77</v>
      </c>
      <c r="C845" s="31" t="n">
        <v>5</v>
      </c>
      <c r="D845" s="31"/>
      <c r="E845" s="31"/>
      <c r="F845" s="26" t="n">
        <f aca="false">INT(A845-4/24)</f>
        <v>46284</v>
      </c>
    </row>
    <row r="846" customFormat="false" ht="15" hidden="false" customHeight="false" outlineLevel="0" collapsed="false">
      <c r="A846" s="30" t="n">
        <v>46284.8902777778</v>
      </c>
      <c r="B846" s="31" t="s">
        <v>81</v>
      </c>
      <c r="C846" s="31"/>
      <c r="D846" s="31"/>
      <c r="E846" s="31"/>
      <c r="F846" s="26" t="n">
        <f aca="false">INT(A846-4/24)</f>
        <v>46284</v>
      </c>
    </row>
    <row r="847" customFormat="false" ht="15" hidden="false" customHeight="false" outlineLevel="0" collapsed="false">
      <c r="A847" s="30" t="n">
        <v>46284.9298611111</v>
      </c>
      <c r="B847" s="31" t="s">
        <v>74</v>
      </c>
      <c r="C847" s="31"/>
      <c r="D847" s="31" t="s">
        <v>82</v>
      </c>
      <c r="E847" s="31"/>
      <c r="F847" s="26" t="n">
        <f aca="false">INT(A847-4/24)</f>
        <v>46284</v>
      </c>
    </row>
    <row r="848" customFormat="false" ht="15" hidden="false" customHeight="false" outlineLevel="0" collapsed="false">
      <c r="A848" s="30" t="n">
        <v>46285.0097222222</v>
      </c>
      <c r="B848" s="31" t="s">
        <v>74</v>
      </c>
      <c r="C848" s="31"/>
      <c r="D848" s="31" t="s">
        <v>82</v>
      </c>
      <c r="E848" s="31"/>
      <c r="F848" s="26" t="n">
        <f aca="false">INT(A848-4/24)</f>
        <v>46284</v>
      </c>
    </row>
    <row r="849" customFormat="false" ht="15" hidden="false" customHeight="false" outlineLevel="0" collapsed="false">
      <c r="A849" s="30" t="n">
        <v>46285.0298611111</v>
      </c>
      <c r="B849" s="31" t="s">
        <v>75</v>
      </c>
      <c r="C849" s="31"/>
      <c r="D849" s="31"/>
      <c r="E849" s="31"/>
      <c r="F849" s="26" t="n">
        <f aca="false">INT(A849-4/24)</f>
        <v>46284</v>
      </c>
    </row>
    <row r="850" customFormat="false" ht="15" hidden="false" customHeight="false" outlineLevel="0" collapsed="false">
      <c r="A850" s="30" t="n">
        <v>46285.0298611111</v>
      </c>
      <c r="B850" s="31" t="s">
        <v>77</v>
      </c>
      <c r="C850" s="31" t="n">
        <v>5</v>
      </c>
      <c r="D850" s="31"/>
      <c r="E850" s="31"/>
      <c r="F850" s="26" t="n">
        <f aca="false">INT(A850-4/24)</f>
        <v>46284</v>
      </c>
    </row>
    <row r="851" customFormat="false" ht="15" hidden="false" customHeight="false" outlineLevel="0" collapsed="false">
      <c r="A851" s="30" t="n">
        <v>46285.0798611111</v>
      </c>
      <c r="B851" s="31" t="s">
        <v>20</v>
      </c>
      <c r="C851" s="31"/>
      <c r="D851" s="31"/>
      <c r="E851" s="31"/>
      <c r="F851" s="26" t="n">
        <f aca="false">INT(A851-4/24)</f>
        <v>46284</v>
      </c>
    </row>
    <row r="852" customFormat="false" ht="15" hidden="false" customHeight="false" outlineLevel="0" collapsed="false">
      <c r="A852" s="30" t="n">
        <v>46285.3777777778</v>
      </c>
      <c r="B852" s="31" t="s">
        <v>79</v>
      </c>
      <c r="C852" s="31"/>
      <c r="D852" s="31"/>
      <c r="E852" s="31"/>
      <c r="F852" s="26" t="n">
        <f aca="false">INT(A852-4/24)</f>
        <v>46285</v>
      </c>
    </row>
    <row r="853" customFormat="false" ht="15" hidden="false" customHeight="false" outlineLevel="0" collapsed="false">
      <c r="A853" s="30" t="n">
        <v>46285.3944444444</v>
      </c>
      <c r="B853" s="31" t="s">
        <v>74</v>
      </c>
      <c r="C853" s="31"/>
      <c r="D853" s="31" t="s">
        <v>82</v>
      </c>
      <c r="E853" s="31"/>
      <c r="F853" s="26" t="n">
        <f aca="false">INT(A853-4/24)</f>
        <v>46285</v>
      </c>
    </row>
    <row r="854" customFormat="false" ht="15" hidden="false" customHeight="false" outlineLevel="0" collapsed="false">
      <c r="A854" s="30" t="n">
        <v>46285.3958333333</v>
      </c>
      <c r="B854" s="31" t="s">
        <v>75</v>
      </c>
      <c r="C854" s="31"/>
      <c r="D854" s="31"/>
      <c r="E854" s="31"/>
      <c r="F854" s="26" t="n">
        <f aca="false">INT(A854-4/24)</f>
        <v>46285</v>
      </c>
    </row>
    <row r="855" customFormat="false" ht="15" hidden="false" customHeight="false" outlineLevel="0" collapsed="false">
      <c r="A855" s="30" t="n">
        <v>46285.3958333333</v>
      </c>
      <c r="B855" s="31" t="s">
        <v>77</v>
      </c>
      <c r="C855" s="31" t="n">
        <v>5</v>
      </c>
      <c r="D855" s="31"/>
      <c r="E855" s="31"/>
      <c r="F855" s="26" t="n">
        <f aca="false">INT(A855-4/24)</f>
        <v>46285</v>
      </c>
    </row>
    <row r="856" customFormat="false" ht="15" hidden="false" customHeight="false" outlineLevel="0" collapsed="false">
      <c r="A856" s="30" t="n">
        <v>46285.4618055556</v>
      </c>
      <c r="B856" s="31" t="s">
        <v>74</v>
      </c>
      <c r="C856" s="31"/>
      <c r="D856" s="31" t="s">
        <v>82</v>
      </c>
      <c r="E856" s="31"/>
      <c r="F856" s="26" t="n">
        <f aca="false">INT(A856-4/24)</f>
        <v>46285</v>
      </c>
    </row>
    <row r="857" customFormat="false" ht="15" hidden="false" customHeight="false" outlineLevel="0" collapsed="false">
      <c r="A857" s="30" t="n">
        <v>46285.5236111111</v>
      </c>
      <c r="B857" s="31" t="s">
        <v>77</v>
      </c>
      <c r="C857" s="31" t="n">
        <v>5</v>
      </c>
      <c r="D857" s="31"/>
      <c r="E857" s="31"/>
      <c r="F857" s="26" t="n">
        <f aca="false">INT(A857-4/24)</f>
        <v>46285</v>
      </c>
    </row>
    <row r="858" customFormat="false" ht="15" hidden="false" customHeight="false" outlineLevel="0" collapsed="false">
      <c r="A858" s="30" t="n">
        <v>46285.5902777778</v>
      </c>
      <c r="B858" s="31" t="s">
        <v>80</v>
      </c>
      <c r="C858" s="31"/>
      <c r="D858" s="31"/>
      <c r="E858" s="31"/>
      <c r="F858" s="26" t="n">
        <f aca="false">INT(A858-4/24)</f>
        <v>46285</v>
      </c>
    </row>
    <row r="859" customFormat="false" ht="15" hidden="false" customHeight="false" outlineLevel="0" collapsed="false">
      <c r="A859" s="30" t="n">
        <v>46285.6111111111</v>
      </c>
      <c r="B859" s="31" t="s">
        <v>81</v>
      </c>
      <c r="C859" s="31"/>
      <c r="D859" s="31"/>
      <c r="E859" s="31"/>
      <c r="F859" s="26" t="n">
        <f aca="false">INT(A859-4/24)</f>
        <v>46285</v>
      </c>
    </row>
    <row r="860" customFormat="false" ht="15" hidden="false" customHeight="false" outlineLevel="0" collapsed="false">
      <c r="A860" s="30" t="n">
        <v>46285.6305555556</v>
      </c>
      <c r="B860" s="31" t="s">
        <v>74</v>
      </c>
      <c r="C860" s="31"/>
      <c r="D860" s="31"/>
      <c r="E860" s="31"/>
      <c r="F860" s="26" t="n">
        <f aca="false">INT(A860-4/24)</f>
        <v>46285</v>
      </c>
    </row>
    <row r="861" customFormat="false" ht="15" hidden="false" customHeight="false" outlineLevel="0" collapsed="false">
      <c r="A861" s="30" t="n">
        <v>46285.6541666667</v>
      </c>
      <c r="B861" s="31" t="s">
        <v>77</v>
      </c>
      <c r="C861" s="31" t="n">
        <v>5</v>
      </c>
      <c r="D861" s="31"/>
      <c r="E861" s="31"/>
      <c r="F861" s="26" t="n">
        <f aca="false">INT(A861-4/24)</f>
        <v>46285</v>
      </c>
    </row>
    <row r="862" customFormat="false" ht="15" hidden="false" customHeight="false" outlineLevel="0" collapsed="false">
      <c r="A862" s="30" t="n">
        <v>46285.6979166667</v>
      </c>
      <c r="B862" s="31" t="s">
        <v>75</v>
      </c>
      <c r="C862" s="31"/>
      <c r="D862" s="31"/>
      <c r="E862" s="31"/>
      <c r="F862" s="26" t="n">
        <f aca="false">INT(A862-4/24)</f>
        <v>46285</v>
      </c>
    </row>
    <row r="863" customFormat="false" ht="15" hidden="false" customHeight="false" outlineLevel="0" collapsed="false">
      <c r="A863" s="30" t="n">
        <v>46285.7034722222</v>
      </c>
      <c r="B863" s="31" t="s">
        <v>74</v>
      </c>
      <c r="C863" s="31"/>
      <c r="D863" s="31" t="s">
        <v>82</v>
      </c>
      <c r="E863" s="31"/>
      <c r="F863" s="26" t="n">
        <f aca="false">INT(A863-4/24)</f>
        <v>46285</v>
      </c>
    </row>
    <row r="864" customFormat="false" ht="15" hidden="false" customHeight="false" outlineLevel="0" collapsed="false">
      <c r="A864" s="30" t="n">
        <v>46285.7465277778</v>
      </c>
      <c r="B864" s="31" t="s">
        <v>80</v>
      </c>
      <c r="C864" s="31"/>
      <c r="D864" s="31"/>
      <c r="E864" s="31"/>
      <c r="F864" s="26" t="n">
        <f aca="false">INT(A864-4/24)</f>
        <v>46285</v>
      </c>
    </row>
    <row r="865" customFormat="false" ht="15" hidden="false" customHeight="false" outlineLevel="0" collapsed="false">
      <c r="A865" s="30" t="n">
        <v>46285.7708333333</v>
      </c>
      <c r="B865" s="31" t="s">
        <v>81</v>
      </c>
      <c r="C865" s="31"/>
      <c r="D865" s="31"/>
      <c r="E865" s="31"/>
      <c r="F865" s="26" t="n">
        <f aca="false">INT(A865-4/24)</f>
        <v>46285</v>
      </c>
    </row>
    <row r="866" customFormat="false" ht="15" hidden="false" customHeight="false" outlineLevel="0" collapsed="false">
      <c r="A866" s="30" t="n">
        <v>46285.775</v>
      </c>
      <c r="B866" s="31" t="s">
        <v>77</v>
      </c>
      <c r="C866" s="31" t="n">
        <v>5</v>
      </c>
      <c r="D866" s="31"/>
      <c r="E866" s="31"/>
      <c r="F866" s="26" t="n">
        <f aca="false">INT(A866-4/24)</f>
        <v>46285</v>
      </c>
    </row>
    <row r="867" customFormat="false" ht="15" hidden="false" customHeight="false" outlineLevel="0" collapsed="false">
      <c r="A867" s="30" t="n">
        <v>46285.8125</v>
      </c>
      <c r="B867" s="31" t="s">
        <v>74</v>
      </c>
      <c r="C867" s="31"/>
      <c r="D867" s="31" t="s">
        <v>84</v>
      </c>
      <c r="E867" s="31"/>
      <c r="F867" s="26" t="n">
        <f aca="false">INT(A867-4/24)</f>
        <v>46285</v>
      </c>
    </row>
    <row r="868" customFormat="false" ht="15" hidden="false" customHeight="false" outlineLevel="0" collapsed="false">
      <c r="A868" s="30" t="n">
        <v>46285.9006944444</v>
      </c>
      <c r="B868" s="31" t="s">
        <v>77</v>
      </c>
      <c r="C868" s="31" t="n">
        <v>5</v>
      </c>
      <c r="D868" s="31"/>
      <c r="E868" s="31"/>
      <c r="F868" s="26" t="n">
        <f aca="false">INT(A868-4/24)</f>
        <v>46285</v>
      </c>
    </row>
    <row r="869" customFormat="false" ht="15" hidden="false" customHeight="false" outlineLevel="0" collapsed="false">
      <c r="A869" s="30" t="n">
        <v>46285.975</v>
      </c>
      <c r="B869" s="31" t="s">
        <v>74</v>
      </c>
      <c r="C869" s="31"/>
      <c r="D869" s="31" t="s">
        <v>82</v>
      </c>
      <c r="E869" s="31"/>
      <c r="F869" s="26" t="n">
        <f aca="false">INT(A869-4/24)</f>
        <v>46285</v>
      </c>
    </row>
    <row r="870" customFormat="false" ht="15" hidden="false" customHeight="false" outlineLevel="0" collapsed="false">
      <c r="A870" s="30" t="n">
        <v>46286.0069444445</v>
      </c>
      <c r="B870" s="31" t="s">
        <v>74</v>
      </c>
      <c r="C870" s="31"/>
      <c r="D870" s="31" t="s">
        <v>84</v>
      </c>
      <c r="E870" s="31"/>
      <c r="F870" s="26" t="n">
        <f aca="false">INT(A870-4/24)</f>
        <v>46285</v>
      </c>
    </row>
    <row r="871" customFormat="false" ht="15" hidden="false" customHeight="false" outlineLevel="0" collapsed="false">
      <c r="A871" s="30" t="n">
        <v>46286.025</v>
      </c>
      <c r="B871" s="31" t="s">
        <v>77</v>
      </c>
      <c r="C871" s="31" t="n">
        <v>5</v>
      </c>
      <c r="D871" s="31"/>
      <c r="E871" s="31"/>
      <c r="F871" s="26" t="n">
        <f aca="false">INT(A871-4/24)</f>
        <v>46285</v>
      </c>
    </row>
    <row r="872" customFormat="false" ht="15" hidden="false" customHeight="false" outlineLevel="0" collapsed="false">
      <c r="A872" s="30" t="n">
        <v>46286.0305555556</v>
      </c>
      <c r="B872" s="31" t="s">
        <v>75</v>
      </c>
      <c r="C872" s="31"/>
      <c r="D872" s="31"/>
      <c r="E872" s="31"/>
      <c r="F872" s="26" t="n">
        <f aca="false">INT(A872-4/24)</f>
        <v>46285</v>
      </c>
    </row>
    <row r="873" customFormat="false" ht="15" hidden="false" customHeight="false" outlineLevel="0" collapsed="false">
      <c r="A873" s="30" t="n">
        <v>46286.0319444445</v>
      </c>
      <c r="B873" s="31" t="s">
        <v>80</v>
      </c>
      <c r="C873" s="31"/>
      <c r="D873" s="31"/>
      <c r="E873" s="31"/>
      <c r="F873" s="26" t="n">
        <f aca="false">INT(A873-4/24)</f>
        <v>46285</v>
      </c>
    </row>
    <row r="874" customFormat="false" ht="15" hidden="false" customHeight="false" outlineLevel="0" collapsed="false">
      <c r="A874" s="30" t="n">
        <v>46286.06875</v>
      </c>
      <c r="B874" s="31" t="s">
        <v>81</v>
      </c>
      <c r="C874" s="31"/>
      <c r="D874" s="31"/>
      <c r="E874" s="31"/>
      <c r="F874" s="26" t="n">
        <f aca="false">INT(A874-4/24)</f>
        <v>46285</v>
      </c>
    </row>
    <row r="875" customFormat="false" ht="15" hidden="false" customHeight="false" outlineLevel="0" collapsed="false">
      <c r="A875" s="30" t="n">
        <v>46286.06875</v>
      </c>
      <c r="B875" s="31" t="s">
        <v>20</v>
      </c>
      <c r="C875" s="31"/>
      <c r="D875" s="31"/>
      <c r="E875" s="31"/>
      <c r="F875" s="26" t="n">
        <f aca="false">INT(A875-4/24)</f>
        <v>46285</v>
      </c>
    </row>
    <row r="876" customFormat="false" ht="15" hidden="false" customHeight="false" outlineLevel="0" collapsed="false">
      <c r="A876" s="30" t="n">
        <v>46286.4270833333</v>
      </c>
      <c r="B876" s="31" t="s">
        <v>79</v>
      </c>
      <c r="C876" s="31"/>
      <c r="D876" s="31"/>
      <c r="E876" s="31"/>
      <c r="F876" s="26" t="n">
        <f aca="false">INT(A876-4/24)</f>
        <v>46286</v>
      </c>
    </row>
    <row r="877" customFormat="false" ht="15" hidden="false" customHeight="false" outlineLevel="0" collapsed="false">
      <c r="A877" s="30" t="n">
        <v>46286.4375</v>
      </c>
      <c r="B877" s="31" t="s">
        <v>74</v>
      </c>
      <c r="C877" s="31"/>
      <c r="D877" s="31" t="s">
        <v>82</v>
      </c>
      <c r="E877" s="31"/>
      <c r="F877" s="26" t="n">
        <f aca="false">INT(A877-4/24)</f>
        <v>46286</v>
      </c>
    </row>
    <row r="878" customFormat="false" ht="15" hidden="false" customHeight="false" outlineLevel="0" collapsed="false">
      <c r="A878" s="30" t="n">
        <v>46286.4409722222</v>
      </c>
      <c r="B878" s="31" t="s">
        <v>77</v>
      </c>
      <c r="C878" s="31" t="n">
        <v>5</v>
      </c>
      <c r="D878" s="31"/>
      <c r="E878" s="31"/>
      <c r="F878" s="26" t="n">
        <f aca="false">INT(A878-4/24)</f>
        <v>46286</v>
      </c>
    </row>
    <row r="879" customFormat="false" ht="15" hidden="false" customHeight="false" outlineLevel="0" collapsed="false">
      <c r="A879" s="30" t="n">
        <v>46286.4465277778</v>
      </c>
      <c r="B879" s="31" t="s">
        <v>75</v>
      </c>
      <c r="C879" s="31"/>
      <c r="D879" s="31"/>
      <c r="E879" s="31"/>
      <c r="F879" s="26" t="n">
        <f aca="false">INT(A879-4/24)</f>
        <v>46286</v>
      </c>
    </row>
    <row r="880" customFormat="false" ht="15" hidden="false" customHeight="false" outlineLevel="0" collapsed="false">
      <c r="A880" s="30" t="n">
        <v>46286.5138888889</v>
      </c>
      <c r="B880" s="31" t="s">
        <v>74</v>
      </c>
      <c r="C880" s="31"/>
      <c r="D880" s="31" t="s">
        <v>82</v>
      </c>
      <c r="E880" s="31"/>
      <c r="F880" s="26" t="n">
        <f aca="false">INT(A880-4/24)</f>
        <v>46286</v>
      </c>
    </row>
    <row r="881" customFormat="false" ht="15" hidden="false" customHeight="false" outlineLevel="0" collapsed="false">
      <c r="A881" s="30" t="n">
        <v>46286.5465277778</v>
      </c>
      <c r="B881" s="31" t="s">
        <v>74</v>
      </c>
      <c r="C881" s="31"/>
      <c r="D881" s="31" t="s">
        <v>84</v>
      </c>
      <c r="E881" s="31"/>
      <c r="F881" s="26" t="n">
        <f aca="false">INT(A881-4/24)</f>
        <v>46286</v>
      </c>
    </row>
    <row r="882" customFormat="false" ht="15" hidden="false" customHeight="false" outlineLevel="0" collapsed="false">
      <c r="A882" s="30" t="n">
        <v>46286.5548611111</v>
      </c>
      <c r="B882" s="31" t="s">
        <v>77</v>
      </c>
      <c r="C882" s="31" t="n">
        <v>5</v>
      </c>
      <c r="D882" s="31"/>
      <c r="E882" s="31"/>
      <c r="F882" s="26" t="n">
        <f aca="false">INT(A882-4/24)</f>
        <v>46286</v>
      </c>
    </row>
    <row r="883" customFormat="false" ht="15" hidden="false" customHeight="false" outlineLevel="0" collapsed="false">
      <c r="A883" s="30" t="n">
        <v>46286.6805555556</v>
      </c>
      <c r="B883" s="31" t="s">
        <v>80</v>
      </c>
      <c r="C883" s="31"/>
      <c r="D883" s="31"/>
      <c r="E883" s="31"/>
      <c r="F883" s="26" t="n">
        <f aca="false">INT(A883-4/24)</f>
        <v>46286</v>
      </c>
    </row>
    <row r="884" customFormat="false" ht="15" hidden="false" customHeight="false" outlineLevel="0" collapsed="false">
      <c r="A884" s="30" t="n">
        <v>46286.7</v>
      </c>
      <c r="B884" s="31" t="s">
        <v>81</v>
      </c>
      <c r="C884" s="31"/>
      <c r="D884" s="31"/>
      <c r="E884" s="31"/>
      <c r="F884" s="26" t="n">
        <f aca="false">INT(A884-4/24)</f>
        <v>46286</v>
      </c>
    </row>
    <row r="885" customFormat="false" ht="15" hidden="false" customHeight="false" outlineLevel="0" collapsed="false">
      <c r="A885" s="30" t="n">
        <v>46286.7034722222</v>
      </c>
      <c r="B885" s="31" t="s">
        <v>74</v>
      </c>
      <c r="C885" s="31"/>
      <c r="D885" s="31" t="s">
        <v>82</v>
      </c>
      <c r="E885" s="31"/>
      <c r="F885" s="26" t="n">
        <f aca="false">INT(A885-4/24)</f>
        <v>46286</v>
      </c>
    </row>
    <row r="886" customFormat="false" ht="15" hidden="false" customHeight="false" outlineLevel="0" collapsed="false">
      <c r="A886" s="30" t="n">
        <v>46286.7034722222</v>
      </c>
      <c r="B886" s="31" t="s">
        <v>75</v>
      </c>
      <c r="C886" s="31"/>
      <c r="D886" s="31"/>
      <c r="E886" s="31"/>
      <c r="F886" s="26" t="n">
        <f aca="false">INT(A886-4/24)</f>
        <v>46286</v>
      </c>
    </row>
    <row r="887" customFormat="false" ht="15" hidden="false" customHeight="false" outlineLevel="0" collapsed="false">
      <c r="A887" s="30" t="n">
        <v>46286.7083333333</v>
      </c>
      <c r="B887" s="31" t="s">
        <v>77</v>
      </c>
      <c r="C887" s="31" t="n">
        <v>5</v>
      </c>
      <c r="D887" s="31"/>
      <c r="E887" s="31"/>
      <c r="F887" s="26" t="n">
        <f aca="false">INT(A887-4/24)</f>
        <v>46286</v>
      </c>
    </row>
    <row r="888" customFormat="false" ht="15" hidden="false" customHeight="false" outlineLevel="0" collapsed="false">
      <c r="A888" s="30" t="n">
        <v>46286.8013888889</v>
      </c>
      <c r="B888" s="31" t="s">
        <v>74</v>
      </c>
      <c r="C888" s="31"/>
      <c r="D888" s="31" t="s">
        <v>82</v>
      </c>
      <c r="E888" s="31"/>
      <c r="F888" s="26" t="n">
        <f aca="false">INT(A888-4/24)</f>
        <v>46286</v>
      </c>
    </row>
    <row r="889" customFormat="false" ht="15" hidden="false" customHeight="false" outlineLevel="0" collapsed="false">
      <c r="A889" s="30" t="n">
        <v>46286.8347222222</v>
      </c>
      <c r="B889" s="31" t="s">
        <v>77</v>
      </c>
      <c r="C889" s="31" t="n">
        <v>5</v>
      </c>
      <c r="D889" s="31"/>
      <c r="E889" s="31"/>
      <c r="F889" s="26" t="n">
        <f aca="false">INT(A889-4/24)</f>
        <v>46286</v>
      </c>
    </row>
    <row r="890" customFormat="false" ht="15" hidden="false" customHeight="false" outlineLevel="0" collapsed="false">
      <c r="A890" s="30" t="n">
        <v>46286.8402777778</v>
      </c>
      <c r="B890" s="31" t="s">
        <v>80</v>
      </c>
      <c r="C890" s="31"/>
      <c r="D890" s="31"/>
      <c r="E890" s="31"/>
      <c r="F890" s="26" t="n">
        <f aca="false">INT(A890-4/24)</f>
        <v>46286</v>
      </c>
    </row>
    <row r="891" customFormat="false" ht="15" hidden="false" customHeight="false" outlineLevel="0" collapsed="false">
      <c r="A891" s="30" t="n">
        <v>46286.90625</v>
      </c>
      <c r="B891" s="31" t="s">
        <v>81</v>
      </c>
      <c r="C891" s="31"/>
      <c r="D891" s="31"/>
      <c r="E891" s="31"/>
      <c r="F891" s="26" t="n">
        <f aca="false">INT(A891-4/24)</f>
        <v>46286</v>
      </c>
    </row>
    <row r="892" customFormat="false" ht="15" hidden="false" customHeight="false" outlineLevel="0" collapsed="false">
      <c r="A892" s="30" t="n">
        <v>46286.9611111111</v>
      </c>
      <c r="B892" s="31" t="s">
        <v>74</v>
      </c>
      <c r="C892" s="31"/>
      <c r="D892" s="31" t="s">
        <v>82</v>
      </c>
      <c r="E892" s="31"/>
      <c r="F892" s="26" t="n">
        <f aca="false">INT(A892-4/24)</f>
        <v>46286</v>
      </c>
    </row>
    <row r="893" customFormat="false" ht="15" hidden="false" customHeight="false" outlineLevel="0" collapsed="false">
      <c r="A893" s="30" t="n">
        <v>46286.9715277778</v>
      </c>
      <c r="B893" s="31" t="s">
        <v>77</v>
      </c>
      <c r="C893" s="31" t="n">
        <v>5</v>
      </c>
      <c r="D893" s="31"/>
      <c r="E893" s="31"/>
      <c r="F893" s="26" t="n">
        <f aca="false">INT(A893-4/24)</f>
        <v>46286</v>
      </c>
    </row>
    <row r="894" customFormat="false" ht="15" hidden="false" customHeight="false" outlineLevel="0" collapsed="false">
      <c r="A894" s="30" t="n">
        <v>46286.9944444444</v>
      </c>
      <c r="B894" s="31" t="s">
        <v>75</v>
      </c>
      <c r="C894" s="31"/>
      <c r="D894" s="31"/>
      <c r="E894" s="31"/>
      <c r="F894" s="26" t="n">
        <f aca="false">INT(A894-4/24)</f>
        <v>46286</v>
      </c>
    </row>
    <row r="895" customFormat="false" ht="15" hidden="false" customHeight="false" outlineLevel="0" collapsed="false">
      <c r="A895" s="30" t="n">
        <v>46287.0013888889</v>
      </c>
      <c r="B895" s="31" t="s">
        <v>80</v>
      </c>
      <c r="C895" s="31"/>
      <c r="D895" s="31"/>
      <c r="E895" s="31"/>
      <c r="F895" s="26" t="n">
        <f aca="false">INT(A895-4/24)</f>
        <v>46286</v>
      </c>
    </row>
    <row r="896" customFormat="false" ht="15" hidden="false" customHeight="false" outlineLevel="0" collapsed="false">
      <c r="A896" s="30" t="n">
        <v>46287.0354166667</v>
      </c>
      <c r="B896" s="31" t="s">
        <v>81</v>
      </c>
      <c r="C896" s="31"/>
      <c r="D896" s="31"/>
      <c r="E896" s="31"/>
      <c r="F896" s="26" t="n">
        <f aca="false">INT(A896-4/24)</f>
        <v>46286</v>
      </c>
    </row>
    <row r="897" customFormat="false" ht="15" hidden="false" customHeight="false" outlineLevel="0" collapsed="false">
      <c r="A897" s="30" t="n">
        <v>46287.0354166667</v>
      </c>
      <c r="B897" s="31" t="s">
        <v>20</v>
      </c>
      <c r="C897" s="31"/>
      <c r="D897" s="31"/>
      <c r="E897" s="31"/>
      <c r="F897" s="26" t="n">
        <f aca="false">INT(A897-4/24)</f>
        <v>46286</v>
      </c>
    </row>
    <row r="898" customFormat="false" ht="15" hidden="false" customHeight="false" outlineLevel="0" collapsed="false">
      <c r="A898" s="30" t="n">
        <v>46287.33125</v>
      </c>
      <c r="B898" s="31" t="s">
        <v>79</v>
      </c>
      <c r="C898" s="31"/>
      <c r="D898" s="31"/>
      <c r="E898" s="31"/>
      <c r="F898" s="26" t="n">
        <f aca="false">INT(A898-4/24)</f>
        <v>46287</v>
      </c>
    </row>
    <row r="899" customFormat="false" ht="15" hidden="false" customHeight="false" outlineLevel="0" collapsed="false">
      <c r="A899" s="30" t="n">
        <v>46287.3402777778</v>
      </c>
      <c r="B899" s="31" t="s">
        <v>74</v>
      </c>
      <c r="C899" s="31"/>
      <c r="D899" s="31" t="s">
        <v>82</v>
      </c>
      <c r="E899" s="31"/>
      <c r="F899" s="26" t="n">
        <f aca="false">INT(A899-4/24)</f>
        <v>46287</v>
      </c>
    </row>
    <row r="900" customFormat="false" ht="15" hidden="false" customHeight="false" outlineLevel="0" collapsed="false">
      <c r="A900" s="30" t="n">
        <v>46287.3430555556</v>
      </c>
      <c r="B900" s="31" t="s">
        <v>75</v>
      </c>
      <c r="C900" s="31"/>
      <c r="D900" s="31"/>
      <c r="E900" s="31"/>
      <c r="F900" s="26" t="n">
        <f aca="false">INT(A900-4/24)</f>
        <v>46287</v>
      </c>
    </row>
    <row r="901" customFormat="false" ht="15" hidden="false" customHeight="false" outlineLevel="0" collapsed="false">
      <c r="A901" s="30" t="n">
        <v>46287.3430555556</v>
      </c>
      <c r="B901" s="31" t="s">
        <v>77</v>
      </c>
      <c r="C901" s="31" t="n">
        <v>5</v>
      </c>
      <c r="D901" s="31"/>
      <c r="E901" s="31"/>
      <c r="F901" s="26" t="n">
        <f aca="false">INT(A901-4/24)</f>
        <v>46287</v>
      </c>
    </row>
    <row r="902" customFormat="false" ht="15" hidden="false" customHeight="false" outlineLevel="0" collapsed="false">
      <c r="A902" s="30" t="n">
        <v>46287.3777777778</v>
      </c>
      <c r="B902" s="31" t="s">
        <v>80</v>
      </c>
      <c r="C902" s="31"/>
      <c r="D902" s="31"/>
      <c r="E902" s="31"/>
      <c r="F902" s="26" t="n">
        <f aca="false">INT(A902-4/24)</f>
        <v>46287</v>
      </c>
    </row>
    <row r="903" customFormat="false" ht="15" hidden="false" customHeight="false" outlineLevel="0" collapsed="false">
      <c r="A903" s="30" t="n">
        <v>46287.3958333333</v>
      </c>
      <c r="B903" s="31" t="s">
        <v>81</v>
      </c>
      <c r="C903" s="31"/>
      <c r="D903" s="31"/>
      <c r="E903" s="31"/>
      <c r="F903" s="26" t="n">
        <f aca="false">INT(A903-4/24)</f>
        <v>46287</v>
      </c>
    </row>
    <row r="904" customFormat="false" ht="15" hidden="false" customHeight="false" outlineLevel="0" collapsed="false">
      <c r="A904" s="30" t="n">
        <v>46287.4027777778</v>
      </c>
      <c r="B904" s="31" t="s">
        <v>74</v>
      </c>
      <c r="C904" s="31"/>
      <c r="D904" s="31" t="s">
        <v>84</v>
      </c>
      <c r="E904" s="31"/>
      <c r="F904" s="26" t="n">
        <f aca="false">INT(A904-4/24)</f>
        <v>46287</v>
      </c>
    </row>
    <row r="905" customFormat="false" ht="15" hidden="false" customHeight="false" outlineLevel="0" collapsed="false">
      <c r="A905" s="30" t="n">
        <v>46287.4604166667</v>
      </c>
      <c r="B905" s="31" t="s">
        <v>77</v>
      </c>
      <c r="C905" s="31" t="n">
        <v>5</v>
      </c>
      <c r="D905" s="31"/>
      <c r="E905" s="31"/>
      <c r="F905" s="26" t="n">
        <f aca="false">INT(A905-4/24)</f>
        <v>46287</v>
      </c>
    </row>
    <row r="906" customFormat="false" ht="15" hidden="false" customHeight="false" outlineLevel="0" collapsed="false">
      <c r="A906" s="30" t="n">
        <v>46287.58125</v>
      </c>
      <c r="B906" s="31" t="s">
        <v>77</v>
      </c>
      <c r="C906" s="31" t="n">
        <v>5</v>
      </c>
      <c r="D906" s="31"/>
      <c r="E906" s="31"/>
      <c r="F906" s="26" t="n">
        <f aca="false">INT(A906-4/24)</f>
        <v>46287</v>
      </c>
    </row>
    <row r="907" customFormat="false" ht="15" hidden="false" customHeight="false" outlineLevel="0" collapsed="false">
      <c r="A907" s="30" t="n">
        <v>46287.5902777778</v>
      </c>
      <c r="B907" s="31" t="s">
        <v>80</v>
      </c>
      <c r="C907" s="31"/>
      <c r="D907" s="31"/>
      <c r="E907" s="31"/>
      <c r="F907" s="26" t="n">
        <f aca="false">INT(A907-4/24)</f>
        <v>46287</v>
      </c>
    </row>
    <row r="908" customFormat="false" ht="15" hidden="false" customHeight="false" outlineLevel="0" collapsed="false">
      <c r="A908" s="30" t="n">
        <v>46287.6145833333</v>
      </c>
      <c r="B908" s="31" t="s">
        <v>81</v>
      </c>
      <c r="C908" s="31"/>
      <c r="D908" s="31"/>
      <c r="E908" s="31"/>
      <c r="F908" s="26" t="n">
        <f aca="false">INT(A908-4/24)</f>
        <v>46287</v>
      </c>
    </row>
    <row r="909" customFormat="false" ht="15" hidden="false" customHeight="false" outlineLevel="0" collapsed="false">
      <c r="A909" s="30" t="n">
        <v>46287.6423611111</v>
      </c>
      <c r="B909" s="31" t="s">
        <v>74</v>
      </c>
      <c r="C909" s="31"/>
      <c r="D909" s="31" t="s">
        <v>82</v>
      </c>
      <c r="E909" s="31"/>
      <c r="F909" s="26" t="n">
        <f aca="false">INT(A909-4/24)</f>
        <v>46287</v>
      </c>
    </row>
    <row r="910" customFormat="false" ht="15" hidden="false" customHeight="false" outlineLevel="0" collapsed="false">
      <c r="A910" s="30" t="n">
        <v>46287.6993055556</v>
      </c>
      <c r="B910" s="31" t="s">
        <v>75</v>
      </c>
      <c r="C910" s="31"/>
      <c r="D910" s="31"/>
      <c r="E910" s="31"/>
      <c r="F910" s="26" t="n">
        <f aca="false">INT(A910-4/24)</f>
        <v>46287</v>
      </c>
    </row>
    <row r="911" customFormat="false" ht="15" hidden="false" customHeight="false" outlineLevel="0" collapsed="false">
      <c r="A911" s="30" t="n">
        <v>46287.7111111111</v>
      </c>
      <c r="B911" s="31" t="s">
        <v>77</v>
      </c>
      <c r="C911" s="31" t="n">
        <v>5</v>
      </c>
      <c r="D911" s="31"/>
      <c r="E911" s="31"/>
      <c r="F911" s="26" t="n">
        <f aca="false">INT(A911-4/24)</f>
        <v>46287</v>
      </c>
    </row>
    <row r="912" customFormat="false" ht="15" hidden="false" customHeight="false" outlineLevel="0" collapsed="false">
      <c r="A912" s="30" t="n">
        <v>46287.8159722222</v>
      </c>
      <c r="B912" s="31" t="s">
        <v>74</v>
      </c>
      <c r="C912" s="31"/>
      <c r="D912" s="31" t="s">
        <v>82</v>
      </c>
      <c r="E912" s="31"/>
      <c r="F912" s="26" t="n">
        <f aca="false">INT(A912-4/24)</f>
        <v>46287</v>
      </c>
    </row>
    <row r="913" customFormat="false" ht="15" hidden="false" customHeight="false" outlineLevel="0" collapsed="false">
      <c r="A913" s="30" t="n">
        <v>46287.8368055556</v>
      </c>
      <c r="B913" s="31" t="s">
        <v>77</v>
      </c>
      <c r="C913" s="31" t="n">
        <v>5</v>
      </c>
      <c r="D913" s="31"/>
      <c r="E913" s="31"/>
      <c r="F913" s="26" t="n">
        <f aca="false">INT(A913-4/24)</f>
        <v>46287</v>
      </c>
    </row>
    <row r="914" customFormat="false" ht="15" hidden="false" customHeight="false" outlineLevel="0" collapsed="false">
      <c r="A914" s="30" t="n">
        <v>46287.8902777778</v>
      </c>
      <c r="B914" s="31" t="s">
        <v>74</v>
      </c>
      <c r="C914" s="31"/>
      <c r="D914" s="31" t="s">
        <v>84</v>
      </c>
      <c r="E914" s="31"/>
      <c r="F914" s="26" t="n">
        <f aca="false">INT(A914-4/24)</f>
        <v>46287</v>
      </c>
    </row>
    <row r="915" customFormat="false" ht="15" hidden="false" customHeight="false" outlineLevel="0" collapsed="false">
      <c r="A915" s="30" t="n">
        <v>46287.9263888889</v>
      </c>
      <c r="B915" s="31" t="s">
        <v>80</v>
      </c>
      <c r="C915" s="31"/>
      <c r="D915" s="31"/>
      <c r="E915" s="31"/>
      <c r="F915" s="26" t="n">
        <f aca="false">INT(A915-4/24)</f>
        <v>46287</v>
      </c>
    </row>
    <row r="916" customFormat="false" ht="15" hidden="false" customHeight="false" outlineLevel="0" collapsed="false">
      <c r="A916" s="30" t="n">
        <v>46287.9715277778</v>
      </c>
      <c r="B916" s="31" t="s">
        <v>81</v>
      </c>
      <c r="C916" s="31"/>
      <c r="D916" s="31"/>
      <c r="E916" s="31"/>
      <c r="F916" s="26" t="n">
        <f aca="false">INT(A916-4/24)</f>
        <v>46287</v>
      </c>
    </row>
    <row r="917" customFormat="false" ht="15" hidden="false" customHeight="false" outlineLevel="0" collapsed="false">
      <c r="A917" s="30" t="n">
        <v>46287.9722222222</v>
      </c>
      <c r="B917" s="31" t="s">
        <v>74</v>
      </c>
      <c r="C917" s="31"/>
      <c r="D917" s="31" t="s">
        <v>82</v>
      </c>
      <c r="E917" s="31"/>
      <c r="F917" s="26" t="n">
        <f aca="false">INT(A917-4/24)</f>
        <v>46287</v>
      </c>
    </row>
    <row r="918" customFormat="false" ht="15" hidden="false" customHeight="false" outlineLevel="0" collapsed="false">
      <c r="A918" s="30" t="n">
        <v>46287.9729166667</v>
      </c>
      <c r="B918" s="31" t="s">
        <v>77</v>
      </c>
      <c r="C918" s="31" t="n">
        <v>5</v>
      </c>
      <c r="D918" s="31"/>
      <c r="E918" s="31"/>
      <c r="F918" s="26" t="n">
        <f aca="false">INT(A918-4/24)</f>
        <v>46287</v>
      </c>
    </row>
    <row r="919" customFormat="false" ht="15" hidden="false" customHeight="false" outlineLevel="0" collapsed="false">
      <c r="A919" s="30" t="n">
        <v>46287.9784722222</v>
      </c>
      <c r="B919" s="31" t="s">
        <v>20</v>
      </c>
      <c r="C919" s="31"/>
      <c r="D919" s="31"/>
      <c r="E919" s="31"/>
      <c r="F919" s="26" t="n">
        <f aca="false">INT(A919-4/24)</f>
        <v>46287</v>
      </c>
    </row>
    <row r="920" customFormat="false" ht="15" hidden="false" customHeight="false" outlineLevel="0" collapsed="false">
      <c r="A920" s="30" t="n">
        <v>46288.0104166667</v>
      </c>
      <c r="B920" s="31" t="s">
        <v>75</v>
      </c>
      <c r="C920" s="31"/>
      <c r="D920" s="31"/>
      <c r="E920" s="31"/>
      <c r="F920" s="26" t="n">
        <f aca="false">INT(A920-4/24)</f>
        <v>46287</v>
      </c>
    </row>
    <row r="921" customFormat="false" ht="15" hidden="false" customHeight="false" outlineLevel="0" collapsed="false">
      <c r="A921" s="30" t="n">
        <v>46288.0131944444</v>
      </c>
      <c r="B921" s="31" t="s">
        <v>20</v>
      </c>
      <c r="C921" s="31"/>
      <c r="D921" s="31"/>
      <c r="E921" s="31"/>
      <c r="F921" s="26" t="n">
        <f aca="false">INT(A921-4/24)</f>
        <v>46287</v>
      </c>
    </row>
    <row r="922" customFormat="false" ht="15" hidden="false" customHeight="false" outlineLevel="0" collapsed="false">
      <c r="A922" s="30" t="n">
        <v>46288.2916666667</v>
      </c>
      <c r="B922" s="31" t="s">
        <v>79</v>
      </c>
      <c r="C922" s="31"/>
      <c r="D922" s="31"/>
      <c r="E922" s="31"/>
      <c r="F922" s="26" t="n">
        <f aca="false">INT(A922-4/24)</f>
        <v>46288</v>
      </c>
    </row>
    <row r="923" customFormat="false" ht="15" hidden="false" customHeight="false" outlineLevel="0" collapsed="false">
      <c r="A923" s="30" t="n">
        <v>46288.2986111111</v>
      </c>
      <c r="B923" s="31" t="s">
        <v>74</v>
      </c>
      <c r="C923" s="31"/>
      <c r="D923" s="31" t="s">
        <v>82</v>
      </c>
      <c r="E923" s="31"/>
      <c r="F923" s="26" t="n">
        <f aca="false">INT(A923-4/24)</f>
        <v>46288</v>
      </c>
    </row>
    <row r="924" customFormat="false" ht="15" hidden="false" customHeight="false" outlineLevel="0" collapsed="false">
      <c r="A924" s="30" t="n">
        <v>46288.3020833333</v>
      </c>
      <c r="B924" s="31" t="s">
        <v>77</v>
      </c>
      <c r="C924" s="31" t="n">
        <v>5</v>
      </c>
      <c r="D924" s="31"/>
      <c r="E924" s="31"/>
      <c r="F924" s="26" t="n">
        <f aca="false">INT(A924-4/24)</f>
        <v>46288</v>
      </c>
    </row>
    <row r="925" customFormat="false" ht="15" hidden="false" customHeight="false" outlineLevel="0" collapsed="false">
      <c r="A925" s="30" t="n">
        <v>46288.3368055556</v>
      </c>
      <c r="B925" s="31" t="s">
        <v>75</v>
      </c>
      <c r="C925" s="31"/>
      <c r="D925" s="31"/>
      <c r="E925" s="31"/>
      <c r="F925" s="26" t="n">
        <f aca="false">INT(A925-4/24)</f>
        <v>46288</v>
      </c>
    </row>
    <row r="926" customFormat="false" ht="15" hidden="false" customHeight="false" outlineLevel="0" collapsed="false">
      <c r="A926" s="30" t="n">
        <v>46288.3993055556</v>
      </c>
      <c r="B926" s="31" t="s">
        <v>74</v>
      </c>
      <c r="C926" s="31"/>
      <c r="D926" s="31" t="s">
        <v>82</v>
      </c>
      <c r="E926" s="31"/>
      <c r="F926" s="26" t="n">
        <f aca="false">INT(A926-4/24)</f>
        <v>46288</v>
      </c>
    </row>
    <row r="927" customFormat="false" ht="15" hidden="false" customHeight="false" outlineLevel="0" collapsed="false">
      <c r="A927" s="30" t="n">
        <v>46288.4270833333</v>
      </c>
      <c r="B927" s="31" t="s">
        <v>77</v>
      </c>
      <c r="C927" s="31" t="n">
        <v>5</v>
      </c>
      <c r="D927" s="31"/>
      <c r="E927" s="31"/>
      <c r="F927" s="26" t="n">
        <f aca="false">INT(A927-4/24)</f>
        <v>46288</v>
      </c>
    </row>
    <row r="928" customFormat="false" ht="15" hidden="false" customHeight="false" outlineLevel="0" collapsed="false">
      <c r="A928" s="30" t="n">
        <v>46288.46875</v>
      </c>
      <c r="B928" s="31" t="s">
        <v>80</v>
      </c>
      <c r="C928" s="31"/>
      <c r="D928" s="31"/>
      <c r="E928" s="31"/>
      <c r="F928" s="26" t="n">
        <f aca="false">INT(A928-4/24)</f>
        <v>46288</v>
      </c>
    </row>
    <row r="929" customFormat="false" ht="15" hidden="false" customHeight="false" outlineLevel="0" collapsed="false">
      <c r="A929" s="30" t="n">
        <v>46288.4895833333</v>
      </c>
      <c r="B929" s="31" t="s">
        <v>81</v>
      </c>
      <c r="C929" s="31"/>
      <c r="D929" s="31"/>
      <c r="E929" s="31"/>
      <c r="F929" s="26" t="n">
        <f aca="false">INT(A929-4/24)</f>
        <v>46288</v>
      </c>
    </row>
    <row r="930" customFormat="false" ht="15" hidden="false" customHeight="false" outlineLevel="0" collapsed="false">
      <c r="A930" s="30" t="n">
        <v>46288.5006944445</v>
      </c>
      <c r="B930" s="31" t="s">
        <v>74</v>
      </c>
      <c r="C930" s="31"/>
      <c r="D930" s="31" t="s">
        <v>82</v>
      </c>
      <c r="E930" s="31"/>
      <c r="F930" s="26" t="n">
        <f aca="false">INT(A930-4/24)</f>
        <v>46288</v>
      </c>
    </row>
    <row r="931" customFormat="false" ht="15" hidden="false" customHeight="false" outlineLevel="0" collapsed="false">
      <c r="A931" s="30" t="n">
        <v>46288.5486111111</v>
      </c>
      <c r="B931" s="31" t="s">
        <v>77</v>
      </c>
      <c r="C931" s="31" t="n">
        <v>5</v>
      </c>
      <c r="D931" s="31"/>
      <c r="E931" s="31"/>
      <c r="F931" s="26" t="n">
        <f aca="false">INT(A931-4/24)</f>
        <v>46288</v>
      </c>
    </row>
    <row r="932" customFormat="false" ht="15" hidden="false" customHeight="false" outlineLevel="0" collapsed="false">
      <c r="A932" s="30" t="n">
        <v>46288.5673611111</v>
      </c>
      <c r="B932" s="31" t="s">
        <v>74</v>
      </c>
      <c r="C932" s="31"/>
      <c r="D932" s="31" t="s">
        <v>84</v>
      </c>
      <c r="E932" s="31"/>
      <c r="F932" s="26" t="n">
        <f aca="false">INT(A932-4/24)</f>
        <v>46288</v>
      </c>
    </row>
    <row r="933" customFormat="false" ht="15" hidden="false" customHeight="false" outlineLevel="0" collapsed="false">
      <c r="A933" s="30" t="n">
        <v>46288.6909722222</v>
      </c>
      <c r="B933" s="31" t="s">
        <v>75</v>
      </c>
      <c r="C933" s="31"/>
      <c r="D933" s="31"/>
      <c r="E933" s="31"/>
      <c r="F933" s="26" t="n">
        <f aca="false">INT(A933-4/24)</f>
        <v>46288</v>
      </c>
    </row>
    <row r="934" customFormat="false" ht="15" hidden="false" customHeight="false" outlineLevel="0" collapsed="false">
      <c r="A934" s="30" t="n">
        <v>46288.6923611111</v>
      </c>
      <c r="B934" s="31" t="s">
        <v>77</v>
      </c>
      <c r="C934" s="31" t="n">
        <v>5</v>
      </c>
      <c r="D934" s="31"/>
      <c r="E934" s="31"/>
      <c r="F934" s="26" t="n">
        <f aca="false">INT(A934-4/24)</f>
        <v>46288</v>
      </c>
    </row>
    <row r="935" customFormat="false" ht="15" hidden="false" customHeight="false" outlineLevel="0" collapsed="false">
      <c r="A935" s="30" t="n">
        <v>46288.75625</v>
      </c>
      <c r="B935" s="31" t="s">
        <v>74</v>
      </c>
      <c r="C935" s="31"/>
      <c r="D935" s="31" t="s">
        <v>82</v>
      </c>
      <c r="E935" s="31"/>
      <c r="F935" s="26" t="n">
        <f aca="false">INT(A935-4/24)</f>
        <v>46288</v>
      </c>
    </row>
    <row r="936" customFormat="false" ht="15" hidden="false" customHeight="false" outlineLevel="0" collapsed="false">
      <c r="A936" s="30" t="n">
        <v>46288.7888888889</v>
      </c>
      <c r="B936" s="31" t="s">
        <v>80</v>
      </c>
      <c r="C936" s="31"/>
      <c r="D936" s="31"/>
      <c r="E936" s="31"/>
      <c r="F936" s="26" t="n">
        <f aca="false">INT(A936-4/24)</f>
        <v>46288</v>
      </c>
    </row>
    <row r="937" customFormat="false" ht="15" hidden="false" customHeight="false" outlineLevel="0" collapsed="false">
      <c r="A937" s="30" t="n">
        <v>46288.8375</v>
      </c>
      <c r="B937" s="31" t="s">
        <v>81</v>
      </c>
      <c r="C937" s="31"/>
      <c r="D937" s="31"/>
      <c r="E937" s="31"/>
      <c r="F937" s="26" t="n">
        <f aca="false">INT(A937-4/24)</f>
        <v>46288</v>
      </c>
    </row>
    <row r="938" customFormat="false" ht="15" hidden="false" customHeight="false" outlineLevel="0" collapsed="false">
      <c r="A938" s="30" t="n">
        <v>46288.8375</v>
      </c>
      <c r="B938" s="31" t="s">
        <v>74</v>
      </c>
      <c r="C938" s="31"/>
      <c r="D938" s="31" t="s">
        <v>82</v>
      </c>
      <c r="E938" s="31"/>
      <c r="F938" s="26" t="n">
        <f aca="false">INT(A938-4/24)</f>
        <v>46288</v>
      </c>
    </row>
    <row r="939" customFormat="false" ht="15" hidden="false" customHeight="false" outlineLevel="0" collapsed="false">
      <c r="A939" s="30" t="n">
        <v>46288.8416666667</v>
      </c>
      <c r="B939" s="31" t="s">
        <v>77</v>
      </c>
      <c r="C939" s="31" t="n">
        <v>5</v>
      </c>
      <c r="D939" s="31"/>
      <c r="E939" s="31"/>
      <c r="F939" s="26" t="n">
        <f aca="false">INT(A939-4/24)</f>
        <v>46288</v>
      </c>
    </row>
    <row r="940" customFormat="false" ht="15" hidden="false" customHeight="false" outlineLevel="0" collapsed="false">
      <c r="A940" s="30" t="n">
        <v>46288.9583333333</v>
      </c>
      <c r="B940" s="31" t="s">
        <v>74</v>
      </c>
      <c r="C940" s="31"/>
      <c r="D940" s="31" t="s">
        <v>82</v>
      </c>
      <c r="E940" s="31"/>
      <c r="F940" s="26" t="n">
        <f aca="false">INT(A940-4/24)</f>
        <v>46288</v>
      </c>
    </row>
    <row r="941" customFormat="false" ht="15" hidden="false" customHeight="false" outlineLevel="0" collapsed="false">
      <c r="A941" s="30" t="n">
        <v>46288.9652777778</v>
      </c>
      <c r="B941" s="31" t="s">
        <v>77</v>
      </c>
      <c r="C941" s="31" t="n">
        <v>5</v>
      </c>
      <c r="D941" s="31"/>
      <c r="E941" s="31"/>
      <c r="F941" s="26" t="n">
        <f aca="false">INT(A941-4/24)</f>
        <v>46288</v>
      </c>
    </row>
    <row r="942" customFormat="false" ht="15" hidden="false" customHeight="false" outlineLevel="0" collapsed="false">
      <c r="A942" s="30" t="n">
        <v>46288.9777777778</v>
      </c>
      <c r="B942" s="31" t="s">
        <v>80</v>
      </c>
      <c r="C942" s="31"/>
      <c r="D942" s="31"/>
      <c r="E942" s="31"/>
      <c r="F942" s="26" t="n">
        <f aca="false">INT(A942-4/24)</f>
        <v>46288</v>
      </c>
    </row>
    <row r="943" customFormat="false" ht="15" hidden="false" customHeight="false" outlineLevel="0" collapsed="false">
      <c r="A943" s="30" t="n">
        <v>46288.9965277778</v>
      </c>
      <c r="B943" s="31" t="s">
        <v>81</v>
      </c>
      <c r="C943" s="31"/>
      <c r="D943" s="31"/>
      <c r="E943" s="31"/>
      <c r="F943" s="26" t="n">
        <f aca="false">INT(A943-4/24)</f>
        <v>46288</v>
      </c>
    </row>
    <row r="944" customFormat="false" ht="15" hidden="false" customHeight="false" outlineLevel="0" collapsed="false">
      <c r="A944" s="30" t="n">
        <v>46288.9972222222</v>
      </c>
      <c r="B944" s="31" t="s">
        <v>75</v>
      </c>
      <c r="C944" s="31"/>
      <c r="D944" s="31"/>
      <c r="E944" s="31"/>
      <c r="F944" s="26" t="n">
        <f aca="false">INT(A944-4/24)</f>
        <v>46288</v>
      </c>
    </row>
    <row r="945" customFormat="false" ht="15" hidden="false" customHeight="false" outlineLevel="0" collapsed="false">
      <c r="A945" s="30" t="n">
        <v>46289</v>
      </c>
      <c r="B945" s="31" t="s">
        <v>20</v>
      </c>
      <c r="C945" s="31"/>
      <c r="D945" s="31"/>
      <c r="E945" s="31"/>
      <c r="F945" s="26" t="n">
        <f aca="false">INT(A945-4/24)</f>
        <v>46288</v>
      </c>
    </row>
    <row r="946" customFormat="false" ht="15" hidden="false" customHeight="false" outlineLevel="0" collapsed="false">
      <c r="A946" s="30" t="n">
        <v>46289.2708333333</v>
      </c>
      <c r="B946" s="31" t="s">
        <v>79</v>
      </c>
      <c r="C946" s="31"/>
      <c r="D946" s="31"/>
      <c r="E946" s="31"/>
      <c r="F946" s="26" t="n">
        <f aca="false">INT(A946-4/24)</f>
        <v>46289</v>
      </c>
    </row>
    <row r="947" customFormat="false" ht="15" hidden="false" customHeight="false" outlineLevel="0" collapsed="false">
      <c r="A947" s="30" t="n">
        <v>46289.3055555556</v>
      </c>
      <c r="B947" s="31" t="s">
        <v>74</v>
      </c>
      <c r="C947" s="31"/>
      <c r="D947" s="31" t="s">
        <v>82</v>
      </c>
      <c r="E947" s="31"/>
      <c r="F947" s="26" t="n">
        <f aca="false">INT(A947-4/24)</f>
        <v>46289</v>
      </c>
    </row>
    <row r="948" customFormat="false" ht="15" hidden="false" customHeight="false" outlineLevel="0" collapsed="false">
      <c r="A948" s="30" t="n">
        <v>46289.3097222222</v>
      </c>
      <c r="B948" s="31" t="s">
        <v>77</v>
      </c>
      <c r="C948" s="31" t="n">
        <v>5</v>
      </c>
      <c r="D948" s="31"/>
      <c r="E948" s="31"/>
      <c r="F948" s="26" t="n">
        <f aca="false">INT(A948-4/24)</f>
        <v>46289</v>
      </c>
    </row>
    <row r="949" customFormat="false" ht="15" hidden="false" customHeight="false" outlineLevel="0" collapsed="false">
      <c r="A949" s="30" t="n">
        <v>46289.3402777778</v>
      </c>
      <c r="B949" s="31" t="s">
        <v>75</v>
      </c>
      <c r="C949" s="31"/>
      <c r="D949" s="31"/>
      <c r="E949" s="31"/>
      <c r="F949" s="26" t="n">
        <f aca="false">INT(A949-4/24)</f>
        <v>46289</v>
      </c>
    </row>
    <row r="950" customFormat="false" ht="15" hidden="false" customHeight="false" outlineLevel="0" collapsed="false">
      <c r="A950" s="30" t="n">
        <v>46289.4013888889</v>
      </c>
      <c r="B950" s="31" t="s">
        <v>74</v>
      </c>
      <c r="C950" s="31"/>
      <c r="D950" s="31" t="s">
        <v>82</v>
      </c>
      <c r="E950" s="31"/>
      <c r="F950" s="26" t="n">
        <f aca="false">INT(A950-4/24)</f>
        <v>46289</v>
      </c>
    </row>
    <row r="951" customFormat="false" ht="15" hidden="false" customHeight="false" outlineLevel="0" collapsed="false">
      <c r="A951" s="30" t="n">
        <v>46289.4069444445</v>
      </c>
      <c r="B951" s="31" t="s">
        <v>80</v>
      </c>
      <c r="C951" s="31"/>
      <c r="D951" s="31"/>
      <c r="E951" s="31"/>
      <c r="F951" s="26" t="n">
        <f aca="false">INT(A951-4/24)</f>
        <v>46289</v>
      </c>
    </row>
    <row r="952" customFormat="false" ht="15" hidden="false" customHeight="false" outlineLevel="0" collapsed="false">
      <c r="A952" s="30" t="n">
        <v>46289.4736111111</v>
      </c>
      <c r="B952" s="31" t="s">
        <v>81</v>
      </c>
      <c r="C952" s="31"/>
      <c r="D952" s="31"/>
      <c r="E952" s="31"/>
      <c r="F952" s="26" t="n">
        <f aca="false">INT(A952-4/24)</f>
        <v>46289</v>
      </c>
    </row>
    <row r="953" customFormat="false" ht="15" hidden="false" customHeight="false" outlineLevel="0" collapsed="false">
      <c r="A953" s="30" t="n">
        <v>46289.4819444444</v>
      </c>
      <c r="B953" s="31" t="s">
        <v>77</v>
      </c>
      <c r="C953" s="31" t="n">
        <v>5</v>
      </c>
      <c r="D953" s="31"/>
      <c r="E953" s="31"/>
      <c r="F953" s="26" t="n">
        <f aca="false">INT(A953-4/24)</f>
        <v>46289</v>
      </c>
    </row>
    <row r="954" customFormat="false" ht="15" hidden="false" customHeight="false" outlineLevel="0" collapsed="false">
      <c r="A954" s="30" t="n">
        <v>46289.59375</v>
      </c>
      <c r="B954" s="31" t="s">
        <v>74</v>
      </c>
      <c r="C954" s="31"/>
      <c r="D954" s="31" t="s">
        <v>84</v>
      </c>
      <c r="E954" s="31"/>
      <c r="F954" s="26" t="n">
        <f aca="false">INT(A954-4/24)</f>
        <v>46289</v>
      </c>
    </row>
    <row r="955" customFormat="false" ht="15" hidden="false" customHeight="false" outlineLevel="0" collapsed="false">
      <c r="A955" s="30" t="n">
        <v>46289.6097222222</v>
      </c>
      <c r="B955" s="31" t="s">
        <v>77</v>
      </c>
      <c r="C955" s="31" t="n">
        <v>5</v>
      </c>
      <c r="D955" s="31"/>
      <c r="E955" s="31"/>
      <c r="F955" s="26" t="n">
        <f aca="false">INT(A955-4/24)</f>
        <v>46289</v>
      </c>
    </row>
    <row r="956" customFormat="false" ht="15" hidden="false" customHeight="false" outlineLevel="0" collapsed="false">
      <c r="A956" s="30" t="n">
        <v>46289.6458333333</v>
      </c>
      <c r="B956" s="31" t="s">
        <v>80</v>
      </c>
      <c r="C956" s="31"/>
      <c r="D956" s="31"/>
      <c r="E956" s="31"/>
      <c r="F956" s="26" t="n">
        <f aca="false">INT(A956-4/24)</f>
        <v>46289</v>
      </c>
    </row>
    <row r="957" customFormat="false" ht="15" hidden="false" customHeight="false" outlineLevel="0" collapsed="false">
      <c r="A957" s="30" t="n">
        <v>46289.6763888889</v>
      </c>
      <c r="B957" s="31" t="s">
        <v>81</v>
      </c>
      <c r="C957" s="31"/>
      <c r="D957" s="31"/>
      <c r="E957" s="31"/>
      <c r="F957" s="26" t="n">
        <f aca="false">INT(A957-4/24)</f>
        <v>46289</v>
      </c>
    </row>
    <row r="958" customFormat="false" ht="15" hidden="false" customHeight="false" outlineLevel="0" collapsed="false">
      <c r="A958" s="30" t="n">
        <v>46289.6875</v>
      </c>
      <c r="B958" s="31" t="s">
        <v>74</v>
      </c>
      <c r="C958" s="31"/>
      <c r="D958" s="31" t="s">
        <v>84</v>
      </c>
      <c r="E958" s="31"/>
      <c r="F958" s="26" t="n">
        <f aca="false">INT(A958-4/24)</f>
        <v>46289</v>
      </c>
    </row>
    <row r="959" customFormat="false" ht="15" hidden="false" customHeight="false" outlineLevel="0" collapsed="false">
      <c r="A959" s="30" t="n">
        <v>46289.7388888889</v>
      </c>
      <c r="B959" s="31" t="s">
        <v>75</v>
      </c>
      <c r="C959" s="31"/>
      <c r="D959" s="31"/>
      <c r="E959" s="31"/>
      <c r="F959" s="26" t="n">
        <f aca="false">INT(A959-4/24)</f>
        <v>46289</v>
      </c>
    </row>
    <row r="960" customFormat="false" ht="15" hidden="false" customHeight="false" outlineLevel="0" collapsed="false">
      <c r="A960" s="30" t="n">
        <v>46289.7388888889</v>
      </c>
      <c r="B960" s="31" t="s">
        <v>77</v>
      </c>
      <c r="C960" s="31" t="n">
        <v>5</v>
      </c>
      <c r="D960" s="31"/>
      <c r="E960" s="31"/>
      <c r="F960" s="26" t="n">
        <f aca="false">INT(A960-4/24)</f>
        <v>46289</v>
      </c>
    </row>
    <row r="961" customFormat="false" ht="15" hidden="false" customHeight="false" outlineLevel="0" collapsed="false">
      <c r="A961" s="30" t="n">
        <v>46289.7784722222</v>
      </c>
      <c r="B961" s="31" t="s">
        <v>74</v>
      </c>
      <c r="C961" s="31"/>
      <c r="D961" s="31" t="s">
        <v>82</v>
      </c>
      <c r="E961" s="31"/>
      <c r="F961" s="26" t="n">
        <f aca="false">INT(A961-4/24)</f>
        <v>46289</v>
      </c>
    </row>
    <row r="962" customFormat="false" ht="15" hidden="false" customHeight="false" outlineLevel="0" collapsed="false">
      <c r="A962" s="30" t="n">
        <v>46289.8840277778</v>
      </c>
      <c r="B962" s="31" t="s">
        <v>77</v>
      </c>
      <c r="C962" s="31" t="n">
        <v>5</v>
      </c>
      <c r="D962" s="31"/>
      <c r="E962" s="31"/>
      <c r="F962" s="26" t="n">
        <f aca="false">INT(A962-4/24)</f>
        <v>46289</v>
      </c>
    </row>
    <row r="963" customFormat="false" ht="15" hidden="false" customHeight="false" outlineLevel="0" collapsed="false">
      <c r="A963" s="30" t="n">
        <v>46289.9708333333</v>
      </c>
      <c r="B963" s="31" t="s">
        <v>74</v>
      </c>
      <c r="C963" s="31"/>
      <c r="D963" s="31" t="s">
        <v>82</v>
      </c>
      <c r="E963" s="31"/>
      <c r="F963" s="26" t="n">
        <f aca="false">INT(A963-4/24)</f>
        <v>46289</v>
      </c>
    </row>
    <row r="964" customFormat="false" ht="15" hidden="false" customHeight="false" outlineLevel="0" collapsed="false">
      <c r="A964" s="30" t="n">
        <v>46289.9930555556</v>
      </c>
      <c r="B964" s="31" t="s">
        <v>81</v>
      </c>
      <c r="C964" s="31"/>
      <c r="D964" s="31"/>
      <c r="E964" s="31"/>
      <c r="F964" s="26" t="n">
        <f aca="false">INT(A964-4/24)</f>
        <v>46289</v>
      </c>
    </row>
    <row r="965" customFormat="false" ht="15" hidden="false" customHeight="false" outlineLevel="0" collapsed="false">
      <c r="A965" s="30" t="n">
        <v>46290.0013888889</v>
      </c>
      <c r="B965" s="31" t="s">
        <v>75</v>
      </c>
      <c r="C965" s="31"/>
      <c r="D965" s="31"/>
      <c r="E965" s="31"/>
      <c r="F965" s="26" t="n">
        <f aca="false">INT(A965-4/24)</f>
        <v>46289</v>
      </c>
    </row>
    <row r="966" customFormat="false" ht="15" hidden="false" customHeight="false" outlineLevel="0" collapsed="false">
      <c r="A966" s="30" t="n">
        <v>46290.0013888889</v>
      </c>
      <c r="B966" s="31" t="s">
        <v>77</v>
      </c>
      <c r="C966" s="31" t="n">
        <v>5</v>
      </c>
      <c r="D966" s="31"/>
      <c r="E966" s="31"/>
      <c r="F966" s="26" t="n">
        <f aca="false">INT(A966-4/24)</f>
        <v>46289</v>
      </c>
    </row>
    <row r="967" customFormat="false" ht="15" hidden="false" customHeight="false" outlineLevel="0" collapsed="false">
      <c r="A967" s="30" t="n">
        <v>46290.0104166667</v>
      </c>
      <c r="B967" s="31" t="s">
        <v>80</v>
      </c>
      <c r="C967" s="31"/>
      <c r="D967" s="31"/>
      <c r="E967" s="31"/>
      <c r="F967" s="26" t="n">
        <f aca="false">INT(A967-4/24)</f>
        <v>46289</v>
      </c>
    </row>
    <row r="968" customFormat="false" ht="15" hidden="false" customHeight="false" outlineLevel="0" collapsed="false">
      <c r="A968" s="30" t="n">
        <v>46290.0347222222</v>
      </c>
      <c r="B968" s="31" t="s">
        <v>81</v>
      </c>
      <c r="C968" s="31"/>
      <c r="D968" s="31"/>
      <c r="E968" s="31"/>
      <c r="F968" s="26" t="n">
        <f aca="false">INT(A968-4/24)</f>
        <v>46289</v>
      </c>
    </row>
    <row r="969" customFormat="false" ht="15" hidden="false" customHeight="false" outlineLevel="0" collapsed="false">
      <c r="A969" s="30" t="n">
        <v>46290.0381944445</v>
      </c>
      <c r="B969" s="31" t="s">
        <v>20</v>
      </c>
      <c r="C969" s="31"/>
      <c r="D969" s="31"/>
      <c r="E969" s="31"/>
      <c r="F969" s="26" t="n">
        <f aca="false">INT(A969-4/24)</f>
        <v>46289</v>
      </c>
    </row>
    <row r="970" customFormat="false" ht="15" hidden="false" customHeight="false" outlineLevel="0" collapsed="false">
      <c r="A970" s="30" t="n">
        <v>46290.3555555556</v>
      </c>
      <c r="B970" s="31" t="s">
        <v>79</v>
      </c>
      <c r="C970" s="31"/>
      <c r="D970" s="31"/>
      <c r="E970" s="31"/>
      <c r="F970" s="26" t="n">
        <f aca="false">INT(A970-4/24)</f>
        <v>46290</v>
      </c>
    </row>
    <row r="971" customFormat="false" ht="15" hidden="false" customHeight="false" outlineLevel="0" collapsed="false">
      <c r="A971" s="30" t="n">
        <v>46290.3611111111</v>
      </c>
      <c r="B971" s="31" t="s">
        <v>74</v>
      </c>
      <c r="C971" s="31"/>
      <c r="D971" s="31" t="s">
        <v>82</v>
      </c>
      <c r="E971" s="31"/>
      <c r="F971" s="26" t="n">
        <f aca="false">INT(A971-4/24)</f>
        <v>46290</v>
      </c>
    </row>
    <row r="972" customFormat="false" ht="15" hidden="false" customHeight="false" outlineLevel="0" collapsed="false">
      <c r="A972" s="30" t="n">
        <v>46290.3694444444</v>
      </c>
      <c r="B972" s="31" t="s">
        <v>75</v>
      </c>
      <c r="C972" s="31"/>
      <c r="D972" s="31"/>
      <c r="E972" s="31"/>
      <c r="F972" s="26" t="n">
        <f aca="false">INT(A972-4/24)</f>
        <v>46290</v>
      </c>
    </row>
    <row r="973" customFormat="false" ht="15" hidden="false" customHeight="false" outlineLevel="0" collapsed="false">
      <c r="A973" s="30" t="n">
        <v>46290.3701388889</v>
      </c>
      <c r="B973" s="31" t="s">
        <v>77</v>
      </c>
      <c r="C973" s="31" t="n">
        <v>5</v>
      </c>
      <c r="D973" s="31"/>
      <c r="E973" s="31"/>
      <c r="F973" s="26" t="n">
        <f aca="false">INT(A973-4/24)</f>
        <v>46290</v>
      </c>
    </row>
    <row r="974" customFormat="false" ht="15" hidden="false" customHeight="false" outlineLevel="0" collapsed="false">
      <c r="A974" s="30" t="n">
        <v>46290.4097222222</v>
      </c>
      <c r="B974" s="31" t="s">
        <v>74</v>
      </c>
      <c r="C974" s="31"/>
      <c r="D974" s="31" t="s">
        <v>84</v>
      </c>
      <c r="E974" s="31"/>
      <c r="F974" s="26" t="n">
        <f aca="false">INT(A974-4/24)</f>
        <v>46290</v>
      </c>
    </row>
    <row r="975" customFormat="false" ht="15" hidden="false" customHeight="false" outlineLevel="0" collapsed="false">
      <c r="A975" s="30" t="n">
        <v>46290.5104166667</v>
      </c>
      <c r="B975" s="31" t="s">
        <v>77</v>
      </c>
      <c r="C975" s="31" t="n">
        <v>5</v>
      </c>
      <c r="D975" s="31"/>
      <c r="E975" s="31"/>
      <c r="F975" s="26" t="n">
        <f aca="false">INT(A975-4/24)</f>
        <v>46290</v>
      </c>
    </row>
    <row r="976" customFormat="false" ht="15" hidden="false" customHeight="false" outlineLevel="0" collapsed="false">
      <c r="A976" s="30" t="n">
        <v>46290.5208333333</v>
      </c>
      <c r="B976" s="31" t="s">
        <v>80</v>
      </c>
      <c r="C976" s="31"/>
      <c r="D976" s="31"/>
      <c r="E976" s="31"/>
      <c r="F976" s="26" t="n">
        <f aca="false">INT(A976-4/24)</f>
        <v>46290</v>
      </c>
    </row>
    <row r="977" customFormat="false" ht="15" hidden="false" customHeight="false" outlineLevel="0" collapsed="false">
      <c r="A977" s="30" t="n">
        <v>46290.55</v>
      </c>
      <c r="B977" s="31" t="s">
        <v>81</v>
      </c>
      <c r="C977" s="31"/>
      <c r="D977" s="31"/>
      <c r="E977" s="31"/>
      <c r="F977" s="26" t="n">
        <f aca="false">INT(A977-4/24)</f>
        <v>46290</v>
      </c>
    </row>
    <row r="978" customFormat="false" ht="15" hidden="false" customHeight="false" outlineLevel="0" collapsed="false">
      <c r="A978" s="30" t="n">
        <v>46290.6118055556</v>
      </c>
      <c r="B978" s="31" t="s">
        <v>74</v>
      </c>
      <c r="C978" s="31"/>
      <c r="D978" s="31" t="s">
        <v>82</v>
      </c>
      <c r="E978" s="31"/>
      <c r="F978" s="26" t="n">
        <f aca="false">INT(A978-4/24)</f>
        <v>46290</v>
      </c>
    </row>
    <row r="979" customFormat="false" ht="15" hidden="false" customHeight="false" outlineLevel="0" collapsed="false">
      <c r="A979" s="30" t="n">
        <v>46290.6458333333</v>
      </c>
      <c r="B979" s="31" t="s">
        <v>80</v>
      </c>
      <c r="C979" s="31"/>
      <c r="D979" s="31"/>
      <c r="E979" s="31"/>
      <c r="F979" s="26" t="n">
        <f aca="false">INT(A979-4/24)</f>
        <v>46290</v>
      </c>
    </row>
    <row r="980" customFormat="false" ht="15" hidden="false" customHeight="false" outlineLevel="0" collapsed="false">
      <c r="A980" s="30" t="n">
        <v>46290.7083333333</v>
      </c>
      <c r="B980" s="31" t="s">
        <v>81</v>
      </c>
      <c r="C980" s="31"/>
      <c r="D980" s="31"/>
      <c r="E980" s="31"/>
      <c r="F980" s="26" t="n">
        <f aca="false">INT(A980-4/24)</f>
        <v>46290</v>
      </c>
    </row>
    <row r="981" customFormat="false" ht="15" hidden="false" customHeight="false" outlineLevel="0" collapsed="false">
      <c r="A981" s="30" t="n">
        <v>46290.7104166667</v>
      </c>
      <c r="B981" s="31" t="s">
        <v>75</v>
      </c>
      <c r="C981" s="31"/>
      <c r="D981" s="31"/>
      <c r="E981" s="31"/>
      <c r="F981" s="26" t="n">
        <f aca="false">INT(A981-4/24)</f>
        <v>46290</v>
      </c>
    </row>
    <row r="982" customFormat="false" ht="15" hidden="false" customHeight="false" outlineLevel="0" collapsed="false">
      <c r="A982" s="30" t="n">
        <v>46290.7111111111</v>
      </c>
      <c r="B982" s="31" t="s">
        <v>77</v>
      </c>
      <c r="C982" s="31" t="n">
        <v>5</v>
      </c>
      <c r="D982" s="31"/>
      <c r="E982" s="31"/>
      <c r="F982" s="26" t="n">
        <f aca="false">INT(A982-4/24)</f>
        <v>46290</v>
      </c>
    </row>
    <row r="983" customFormat="false" ht="15" hidden="false" customHeight="false" outlineLevel="0" collapsed="false">
      <c r="A983" s="30" t="n">
        <v>46290.71875</v>
      </c>
      <c r="B983" s="31" t="s">
        <v>80</v>
      </c>
      <c r="C983" s="31"/>
      <c r="D983" s="31"/>
      <c r="E983" s="31"/>
      <c r="F983" s="26" t="n">
        <f aca="false">INT(A983-4/24)</f>
        <v>46290</v>
      </c>
    </row>
    <row r="984" customFormat="false" ht="15" hidden="false" customHeight="false" outlineLevel="0" collapsed="false">
      <c r="A984" s="30" t="n">
        <v>46290.7479166667</v>
      </c>
      <c r="B984" s="31" t="s">
        <v>81</v>
      </c>
      <c r="C984" s="31"/>
      <c r="D984" s="31"/>
      <c r="E984" s="31"/>
      <c r="F984" s="26" t="n">
        <f aca="false">INT(A984-4/24)</f>
        <v>46290</v>
      </c>
    </row>
    <row r="985" customFormat="false" ht="15" hidden="false" customHeight="false" outlineLevel="0" collapsed="false">
      <c r="A985" s="30" t="n">
        <v>46290.79375</v>
      </c>
      <c r="B985" s="31" t="s">
        <v>74</v>
      </c>
      <c r="C985" s="31"/>
      <c r="D985" s="31" t="s">
        <v>84</v>
      </c>
      <c r="E985" s="31"/>
      <c r="F985" s="26" t="n">
        <f aca="false">INT(A985-4/24)</f>
        <v>46290</v>
      </c>
    </row>
    <row r="986" customFormat="false" ht="15" hidden="false" customHeight="false" outlineLevel="0" collapsed="false">
      <c r="A986" s="30" t="n">
        <v>46290.8354166667</v>
      </c>
      <c r="B986" s="31" t="s">
        <v>77</v>
      </c>
      <c r="C986" s="31" t="n">
        <v>5</v>
      </c>
      <c r="D986" s="31"/>
      <c r="E986" s="31"/>
      <c r="F986" s="26" t="n">
        <f aca="false">INT(A986-4/24)</f>
        <v>46290</v>
      </c>
    </row>
    <row r="987" customFormat="false" ht="15" hidden="false" customHeight="false" outlineLevel="0" collapsed="false">
      <c r="A987" s="30" t="n">
        <v>46290.9270833333</v>
      </c>
      <c r="B987" s="31" t="s">
        <v>74</v>
      </c>
      <c r="C987" s="31"/>
      <c r="D987" s="31" t="s">
        <v>82</v>
      </c>
      <c r="E987" s="31"/>
      <c r="F987" s="26" t="n">
        <f aca="false">INT(A987-4/24)</f>
        <v>46290</v>
      </c>
    </row>
    <row r="988" customFormat="false" ht="15" hidden="false" customHeight="false" outlineLevel="0" collapsed="false">
      <c r="A988" s="30" t="n">
        <v>46290.9645833333</v>
      </c>
      <c r="B988" s="31" t="s">
        <v>80</v>
      </c>
      <c r="C988" s="31"/>
      <c r="D988" s="31"/>
      <c r="E988" s="31"/>
      <c r="F988" s="26" t="n">
        <f aca="false">INT(A988-4/24)</f>
        <v>46290</v>
      </c>
    </row>
    <row r="989" customFormat="false" ht="15" hidden="false" customHeight="false" outlineLevel="0" collapsed="false">
      <c r="A989" s="30" t="n">
        <v>46290.9763888889</v>
      </c>
      <c r="B989" s="31" t="s">
        <v>81</v>
      </c>
      <c r="C989" s="31"/>
      <c r="D989" s="31"/>
      <c r="E989" s="31"/>
      <c r="F989" s="26" t="n">
        <f aca="false">INT(A989-4/24)</f>
        <v>46290</v>
      </c>
    </row>
    <row r="990" customFormat="false" ht="15" hidden="false" customHeight="false" outlineLevel="0" collapsed="false">
      <c r="A990" s="30" t="n">
        <v>46290.9791666667</v>
      </c>
      <c r="B990" s="31" t="s">
        <v>77</v>
      </c>
      <c r="C990" s="31" t="n">
        <v>5</v>
      </c>
      <c r="D990" s="31"/>
      <c r="E990" s="31"/>
      <c r="F990" s="26" t="n">
        <f aca="false">INT(A990-4/24)</f>
        <v>46290</v>
      </c>
    </row>
    <row r="991" customFormat="false" ht="15" hidden="false" customHeight="false" outlineLevel="0" collapsed="false">
      <c r="A991" s="30" t="n">
        <v>46290.9895833333</v>
      </c>
      <c r="B991" s="31" t="s">
        <v>80</v>
      </c>
      <c r="C991" s="31"/>
      <c r="D991" s="31"/>
      <c r="E991" s="31"/>
      <c r="F991" s="26" t="n">
        <f aca="false">INT(A991-4/24)</f>
        <v>46290</v>
      </c>
    </row>
    <row r="992" customFormat="false" ht="15" hidden="false" customHeight="false" outlineLevel="0" collapsed="false">
      <c r="A992" s="30" t="n">
        <v>46291.0006944445</v>
      </c>
      <c r="B992" s="31" t="s">
        <v>75</v>
      </c>
      <c r="C992" s="31"/>
      <c r="D992" s="31"/>
      <c r="E992" s="31"/>
      <c r="F992" s="26" t="n">
        <f aca="false">INT(A992-4/24)</f>
        <v>46290</v>
      </c>
    </row>
    <row r="993" customFormat="false" ht="15" hidden="false" customHeight="false" outlineLevel="0" collapsed="false">
      <c r="A993" s="30" t="n">
        <v>46291.0354166667</v>
      </c>
      <c r="B993" s="31" t="s">
        <v>81</v>
      </c>
      <c r="C993" s="31"/>
      <c r="D993" s="31"/>
      <c r="E993" s="31"/>
      <c r="F993" s="26" t="n">
        <f aca="false">INT(A993-4/24)</f>
        <v>46290</v>
      </c>
    </row>
    <row r="994" customFormat="false" ht="15" hidden="false" customHeight="false" outlineLevel="0" collapsed="false">
      <c r="A994" s="30" t="n">
        <v>46291.0361111111</v>
      </c>
      <c r="B994" s="31" t="s">
        <v>20</v>
      </c>
      <c r="C994" s="31"/>
      <c r="D994" s="31"/>
      <c r="E994" s="31"/>
      <c r="F994" s="26" t="n">
        <f aca="false">INT(A994-4/24)</f>
        <v>46290</v>
      </c>
    </row>
    <row r="995" customFormat="false" ht="15" hidden="false" customHeight="false" outlineLevel="0" collapsed="false">
      <c r="A995" s="30" t="n">
        <v>46291.3291666667</v>
      </c>
      <c r="B995" s="31" t="s">
        <v>79</v>
      </c>
      <c r="C995" s="31"/>
      <c r="D995" s="31"/>
      <c r="E995" s="31"/>
      <c r="F995" s="26" t="n">
        <f aca="false">INT(A995-4/24)</f>
        <v>46291</v>
      </c>
    </row>
    <row r="996" customFormat="false" ht="15" hidden="false" customHeight="false" outlineLevel="0" collapsed="false">
      <c r="A996" s="30" t="n">
        <v>46291.3368055556</v>
      </c>
      <c r="B996" s="31" t="s">
        <v>74</v>
      </c>
      <c r="C996" s="31"/>
      <c r="D996" s="31" t="s">
        <v>82</v>
      </c>
      <c r="E996" s="31"/>
      <c r="F996" s="26" t="n">
        <f aca="false">INT(A996-4/24)</f>
        <v>46291</v>
      </c>
    </row>
    <row r="997" customFormat="false" ht="15" hidden="false" customHeight="false" outlineLevel="0" collapsed="false">
      <c r="A997" s="30" t="n">
        <v>46291.3430555556</v>
      </c>
      <c r="B997" s="31" t="s">
        <v>75</v>
      </c>
      <c r="C997" s="31"/>
      <c r="D997" s="31"/>
      <c r="E997" s="31"/>
      <c r="F997" s="26" t="n">
        <f aca="false">INT(A997-4/24)</f>
        <v>46291</v>
      </c>
    </row>
    <row r="998" customFormat="false" ht="15" hidden="false" customHeight="false" outlineLevel="0" collapsed="false">
      <c r="A998" s="30" t="n">
        <v>46291.34375</v>
      </c>
      <c r="B998" s="31" t="s">
        <v>77</v>
      </c>
      <c r="C998" s="31" t="n">
        <v>5</v>
      </c>
      <c r="D998" s="31"/>
      <c r="E998" s="31"/>
      <c r="F998" s="26" t="n">
        <f aca="false">INT(A998-4/24)</f>
        <v>46291</v>
      </c>
    </row>
    <row r="999" customFormat="false" ht="15" hidden="false" customHeight="false" outlineLevel="0" collapsed="false">
      <c r="A999" s="30" t="n">
        <v>46291.3541666667</v>
      </c>
      <c r="B999" s="31" t="s">
        <v>80</v>
      </c>
      <c r="C999" s="31"/>
      <c r="D999" s="31"/>
      <c r="E999" s="31"/>
      <c r="F999" s="26" t="n">
        <f aca="false">INT(A999-4/24)</f>
        <v>46291</v>
      </c>
    </row>
    <row r="1000" customFormat="false" ht="15" hidden="false" customHeight="false" outlineLevel="0" collapsed="false">
      <c r="A1000" s="30" t="n">
        <v>46291.3854166667</v>
      </c>
      <c r="B1000" s="31" t="s">
        <v>81</v>
      </c>
      <c r="C1000" s="31"/>
      <c r="D1000" s="31"/>
      <c r="E1000" s="31"/>
      <c r="F1000" s="26" t="n">
        <f aca="false">INT(A1000-4/24)</f>
        <v>46291</v>
      </c>
    </row>
    <row r="1001" customFormat="false" ht="15" hidden="false" customHeight="false" outlineLevel="0" collapsed="false">
      <c r="A1001" s="30" t="n">
        <v>46291.4756944445</v>
      </c>
      <c r="B1001" s="31" t="s">
        <v>77</v>
      </c>
      <c r="C1001" s="31" t="n">
        <v>5</v>
      </c>
      <c r="D1001" s="31"/>
      <c r="E1001" s="31"/>
      <c r="F1001" s="26" t="n">
        <f aca="false">INT(A1001-4/24)</f>
        <v>46291</v>
      </c>
    </row>
    <row r="1002" customFormat="false" ht="15" hidden="false" customHeight="false" outlineLevel="0" collapsed="false">
      <c r="A1002" s="30" t="n">
        <v>46291.4895833333</v>
      </c>
      <c r="B1002" s="31" t="s">
        <v>80</v>
      </c>
      <c r="C1002" s="31"/>
      <c r="D1002" s="31"/>
      <c r="E1002" s="31"/>
      <c r="F1002" s="26" t="n">
        <f aca="false">INT(A1002-4/24)</f>
        <v>46291</v>
      </c>
    </row>
    <row r="1003" customFormat="false" ht="15" hidden="false" customHeight="false" outlineLevel="0" collapsed="false">
      <c r="A1003" s="30" t="n">
        <v>46291.5208333333</v>
      </c>
      <c r="B1003" s="31" t="s">
        <v>81</v>
      </c>
      <c r="C1003" s="31"/>
      <c r="D1003" s="31"/>
      <c r="E1003" s="31"/>
      <c r="F1003" s="26" t="n">
        <f aca="false">INT(A1003-4/24)</f>
        <v>46291</v>
      </c>
    </row>
    <row r="1004" customFormat="false" ht="15" hidden="false" customHeight="false" outlineLevel="0" collapsed="false">
      <c r="A1004" s="30" t="n">
        <v>46291.53125</v>
      </c>
      <c r="B1004" s="31" t="s">
        <v>74</v>
      </c>
      <c r="C1004" s="31"/>
      <c r="D1004" s="31" t="s">
        <v>82</v>
      </c>
      <c r="E1004" s="31"/>
      <c r="F1004" s="26" t="n">
        <f aca="false">INT(A1004-4/24)</f>
        <v>46291</v>
      </c>
    </row>
    <row r="1005" customFormat="false" ht="15" hidden="false" customHeight="false" outlineLevel="0" collapsed="false">
      <c r="A1005" s="30" t="n">
        <v>46291.5902777778</v>
      </c>
      <c r="B1005" s="31" t="s">
        <v>74</v>
      </c>
      <c r="C1005" s="31"/>
      <c r="D1005" s="31" t="s">
        <v>83</v>
      </c>
      <c r="E1005" s="31"/>
      <c r="F1005" s="26" t="n">
        <f aca="false">INT(A1005-4/24)</f>
        <v>46291</v>
      </c>
    </row>
    <row r="1006" customFormat="false" ht="15" hidden="false" customHeight="false" outlineLevel="0" collapsed="false">
      <c r="A1006" s="30" t="n">
        <v>46291.6090277778</v>
      </c>
      <c r="B1006" s="31" t="s">
        <v>77</v>
      </c>
      <c r="C1006" s="31" t="n">
        <v>5</v>
      </c>
      <c r="D1006" s="31"/>
      <c r="E1006" s="31"/>
      <c r="F1006" s="26" t="n">
        <f aca="false">INT(A1006-4/24)</f>
        <v>46291</v>
      </c>
    </row>
    <row r="1007" customFormat="false" ht="15" hidden="false" customHeight="false" outlineLevel="0" collapsed="false">
      <c r="A1007" s="30" t="n">
        <v>46291.6180555556</v>
      </c>
      <c r="B1007" s="31" t="s">
        <v>80</v>
      </c>
      <c r="C1007" s="31"/>
      <c r="D1007" s="31"/>
      <c r="E1007" s="31"/>
      <c r="F1007" s="26" t="n">
        <f aca="false">INT(A1007-4/24)</f>
        <v>46291</v>
      </c>
    </row>
    <row r="1008" customFormat="false" ht="15" hidden="false" customHeight="false" outlineLevel="0" collapsed="false">
      <c r="A1008" s="30" t="n">
        <v>46291.6465277778</v>
      </c>
      <c r="B1008" s="31" t="s">
        <v>81</v>
      </c>
      <c r="C1008" s="31"/>
      <c r="D1008" s="31"/>
      <c r="E1008" s="31"/>
      <c r="F1008" s="26" t="n">
        <f aca="false">INT(A1008-4/24)</f>
        <v>46291</v>
      </c>
    </row>
    <row r="1009" customFormat="false" ht="15" hidden="false" customHeight="false" outlineLevel="0" collapsed="false">
      <c r="A1009" s="30" t="n">
        <v>46291.6763888889</v>
      </c>
      <c r="B1009" s="31" t="s">
        <v>74</v>
      </c>
      <c r="C1009" s="31"/>
      <c r="D1009" s="31" t="s">
        <v>84</v>
      </c>
      <c r="E1009" s="31"/>
      <c r="F1009" s="26" t="n">
        <f aca="false">INT(A1009-4/24)</f>
        <v>46291</v>
      </c>
    </row>
    <row r="1010" customFormat="false" ht="15" hidden="false" customHeight="false" outlineLevel="0" collapsed="false">
      <c r="A1010" s="30" t="n">
        <v>46291.7256944445</v>
      </c>
      <c r="B1010" s="31" t="s">
        <v>74</v>
      </c>
      <c r="C1010" s="31"/>
      <c r="D1010" s="31" t="s">
        <v>82</v>
      </c>
      <c r="E1010" s="31"/>
      <c r="F1010" s="26" t="n">
        <f aca="false">INT(A1010-4/24)</f>
        <v>46291</v>
      </c>
    </row>
    <row r="1011" customFormat="false" ht="15" hidden="false" customHeight="false" outlineLevel="0" collapsed="false">
      <c r="A1011" s="30" t="n">
        <v>46291.75</v>
      </c>
      <c r="B1011" s="31" t="s">
        <v>75</v>
      </c>
      <c r="C1011" s="31"/>
      <c r="D1011" s="31"/>
      <c r="E1011" s="31"/>
      <c r="F1011" s="26" t="n">
        <f aca="false">INT(A1011-4/24)</f>
        <v>46291</v>
      </c>
    </row>
    <row r="1012" customFormat="false" ht="15" hidden="false" customHeight="false" outlineLevel="0" collapsed="false">
      <c r="A1012" s="30" t="n">
        <v>46291.7506944445</v>
      </c>
      <c r="B1012" s="31" t="s">
        <v>77</v>
      </c>
      <c r="C1012" s="31" t="n">
        <v>5</v>
      </c>
      <c r="D1012" s="31"/>
      <c r="E1012" s="31"/>
      <c r="F1012" s="26" t="n">
        <f aca="false">INT(A1012-4/24)</f>
        <v>46291</v>
      </c>
    </row>
    <row r="1013" customFormat="false" ht="15" hidden="false" customHeight="false" outlineLevel="0" collapsed="false">
      <c r="A1013" s="30" t="n">
        <v>46291.75625</v>
      </c>
      <c r="B1013" s="31" t="s">
        <v>80</v>
      </c>
      <c r="C1013" s="31"/>
      <c r="D1013" s="31"/>
      <c r="E1013" s="31"/>
      <c r="F1013" s="26" t="n">
        <f aca="false">INT(A1013-4/24)</f>
        <v>46291</v>
      </c>
    </row>
    <row r="1014" customFormat="false" ht="15" hidden="false" customHeight="false" outlineLevel="0" collapsed="false">
      <c r="A1014" s="30" t="n">
        <v>46291.8361111111</v>
      </c>
      <c r="B1014" s="31" t="s">
        <v>81</v>
      </c>
      <c r="C1014" s="31"/>
      <c r="D1014" s="31"/>
      <c r="E1014" s="31"/>
      <c r="F1014" s="26" t="n">
        <f aca="false">INT(A1014-4/24)</f>
        <v>46291</v>
      </c>
    </row>
    <row r="1015" customFormat="false" ht="15" hidden="false" customHeight="false" outlineLevel="0" collapsed="false">
      <c r="A1015" s="30" t="n">
        <v>46291.8868055556</v>
      </c>
      <c r="B1015" s="31" t="s">
        <v>74</v>
      </c>
      <c r="C1015" s="31"/>
      <c r="D1015" s="31" t="s">
        <v>82</v>
      </c>
      <c r="E1015" s="31"/>
      <c r="F1015" s="26" t="n">
        <f aca="false">INT(A1015-4/24)</f>
        <v>46291</v>
      </c>
    </row>
    <row r="1016" customFormat="false" ht="15" hidden="false" customHeight="false" outlineLevel="0" collapsed="false">
      <c r="A1016" s="30" t="n">
        <v>46291.8923611111</v>
      </c>
      <c r="B1016" s="31" t="s">
        <v>77</v>
      </c>
      <c r="C1016" s="31" t="n">
        <v>5</v>
      </c>
      <c r="D1016" s="31"/>
      <c r="E1016" s="31"/>
      <c r="F1016" s="26" t="n">
        <f aca="false">INT(A1016-4/24)</f>
        <v>46291</v>
      </c>
    </row>
    <row r="1017" customFormat="false" ht="15" hidden="false" customHeight="false" outlineLevel="0" collapsed="false">
      <c r="A1017" s="30" t="n">
        <v>46291.9402777778</v>
      </c>
      <c r="B1017" s="31" t="s">
        <v>74</v>
      </c>
      <c r="C1017" s="31"/>
      <c r="D1017" s="31" t="s">
        <v>84</v>
      </c>
      <c r="E1017" s="31"/>
      <c r="F1017" s="26" t="n">
        <f aca="false">INT(A1017-4/24)</f>
        <v>46291</v>
      </c>
    </row>
    <row r="1018" customFormat="false" ht="15" hidden="false" customHeight="false" outlineLevel="0" collapsed="false">
      <c r="A1018" s="30" t="n">
        <v>46292.0083333333</v>
      </c>
      <c r="B1018" s="31" t="s">
        <v>74</v>
      </c>
      <c r="C1018" s="31"/>
      <c r="D1018" s="31" t="s">
        <v>82</v>
      </c>
      <c r="E1018" s="31"/>
      <c r="F1018" s="26" t="n">
        <f aca="false">INT(A1018-4/24)</f>
        <v>46291</v>
      </c>
    </row>
    <row r="1019" customFormat="false" ht="15" hidden="false" customHeight="false" outlineLevel="0" collapsed="false">
      <c r="A1019" s="30" t="n">
        <v>46292.0090277778</v>
      </c>
      <c r="B1019" s="31" t="s">
        <v>75</v>
      </c>
      <c r="C1019" s="31"/>
      <c r="D1019" s="31"/>
      <c r="E1019" s="31"/>
      <c r="F1019" s="26" t="n">
        <f aca="false">INT(A1019-4/24)</f>
        <v>46291</v>
      </c>
    </row>
    <row r="1020" customFormat="false" ht="15" hidden="false" customHeight="false" outlineLevel="0" collapsed="false">
      <c r="A1020" s="30" t="n">
        <v>46292.0097222222</v>
      </c>
      <c r="B1020" s="31" t="s">
        <v>77</v>
      </c>
      <c r="C1020" s="31" t="n">
        <v>5</v>
      </c>
      <c r="D1020" s="31"/>
      <c r="E1020" s="31"/>
      <c r="F1020" s="26" t="n">
        <f aca="false">INT(A1020-4/24)</f>
        <v>46291</v>
      </c>
    </row>
    <row r="1021" customFormat="false" ht="15" hidden="false" customHeight="false" outlineLevel="0" collapsed="false">
      <c r="A1021" s="30" t="n">
        <v>46292.0166666667</v>
      </c>
      <c r="B1021" s="31" t="s">
        <v>80</v>
      </c>
      <c r="C1021" s="31"/>
      <c r="D1021" s="31"/>
      <c r="E1021" s="31"/>
      <c r="F1021" s="26" t="n">
        <f aca="false">INT(A1021-4/24)</f>
        <v>46291</v>
      </c>
    </row>
    <row r="1022" customFormat="false" ht="15" hidden="false" customHeight="false" outlineLevel="0" collapsed="false">
      <c r="A1022" s="30" t="n">
        <v>46292.0520833333</v>
      </c>
      <c r="B1022" s="31" t="s">
        <v>81</v>
      </c>
      <c r="C1022" s="31"/>
      <c r="D1022" s="31"/>
      <c r="E1022" s="31"/>
      <c r="F1022" s="26" t="n">
        <f aca="false">INT(A1022-4/24)</f>
        <v>46291</v>
      </c>
    </row>
    <row r="1023" customFormat="false" ht="15" hidden="false" customHeight="false" outlineLevel="0" collapsed="false">
      <c r="A1023" s="30" t="n">
        <v>46292.0534722222</v>
      </c>
      <c r="B1023" s="31" t="s">
        <v>20</v>
      </c>
      <c r="C1023" s="31"/>
      <c r="D1023" s="31"/>
      <c r="E1023" s="31"/>
      <c r="F1023" s="26" t="n">
        <f aca="false">INT(A1023-4/24)</f>
        <v>46291</v>
      </c>
    </row>
    <row r="1024" customFormat="false" ht="15" hidden="false" customHeight="false" outlineLevel="0" collapsed="false">
      <c r="A1024" s="30" t="n">
        <v>46292.3541666667</v>
      </c>
      <c r="B1024" s="31" t="s">
        <v>79</v>
      </c>
      <c r="C1024" s="31"/>
      <c r="D1024" s="31"/>
      <c r="E1024" s="31"/>
      <c r="F1024" s="26" t="n">
        <f aca="false">INT(A1024-4/24)</f>
        <v>46292</v>
      </c>
    </row>
    <row r="1025" customFormat="false" ht="15" hidden="false" customHeight="false" outlineLevel="0" collapsed="false">
      <c r="A1025" s="30" t="n">
        <v>46292.3645833333</v>
      </c>
      <c r="B1025" s="31" t="s">
        <v>74</v>
      </c>
      <c r="C1025" s="31"/>
      <c r="D1025" s="31" t="s">
        <v>82</v>
      </c>
      <c r="E1025" s="31"/>
      <c r="F1025" s="26" t="n">
        <f aca="false">INT(A1025-4/24)</f>
        <v>46292</v>
      </c>
    </row>
    <row r="1026" customFormat="false" ht="15" hidden="false" customHeight="false" outlineLevel="0" collapsed="false">
      <c r="A1026" s="30" t="n">
        <v>46292.3743055556</v>
      </c>
      <c r="B1026" s="31" t="s">
        <v>75</v>
      </c>
      <c r="C1026" s="31"/>
      <c r="D1026" s="31"/>
      <c r="E1026" s="31"/>
      <c r="F1026" s="26" t="n">
        <f aca="false">INT(A1026-4/24)</f>
        <v>46292</v>
      </c>
    </row>
    <row r="1027" customFormat="false" ht="15" hidden="false" customHeight="false" outlineLevel="0" collapsed="false">
      <c r="A1027" s="30" t="n">
        <v>46292.375</v>
      </c>
      <c r="B1027" s="31" t="s">
        <v>77</v>
      </c>
      <c r="C1027" s="31" t="n">
        <v>6</v>
      </c>
      <c r="D1027" s="31"/>
      <c r="E1027" s="31"/>
      <c r="F1027" s="26" t="n">
        <f aca="false">INT(A1027-4/24)</f>
        <v>46292</v>
      </c>
    </row>
    <row r="1028" customFormat="false" ht="15" hidden="false" customHeight="false" outlineLevel="0" collapsed="false">
      <c r="A1028" s="30" t="n">
        <v>46292.4041666667</v>
      </c>
      <c r="B1028" s="31" t="s">
        <v>80</v>
      </c>
      <c r="C1028" s="31"/>
      <c r="D1028" s="31"/>
      <c r="E1028" s="31"/>
      <c r="F1028" s="26" t="n">
        <f aca="false">INT(A1028-4/24)</f>
        <v>46292</v>
      </c>
    </row>
    <row r="1029" customFormat="false" ht="15" hidden="false" customHeight="false" outlineLevel="0" collapsed="false">
      <c r="A1029" s="30" t="n">
        <v>46292.4284722222</v>
      </c>
      <c r="B1029" s="31" t="s">
        <v>81</v>
      </c>
      <c r="C1029" s="31"/>
      <c r="D1029" s="31"/>
      <c r="E1029" s="31"/>
      <c r="F1029" s="26" t="n">
        <f aca="false">INT(A1029-4/24)</f>
        <v>46292</v>
      </c>
    </row>
    <row r="1030" customFormat="false" ht="15" hidden="false" customHeight="false" outlineLevel="0" collapsed="false">
      <c r="A1030" s="30" t="n">
        <v>46292.4583333333</v>
      </c>
      <c r="B1030" s="31" t="s">
        <v>74</v>
      </c>
      <c r="C1030" s="31"/>
      <c r="D1030" s="31" t="s">
        <v>82</v>
      </c>
      <c r="E1030" s="31"/>
      <c r="F1030" s="26" t="n">
        <f aca="false">INT(A1030-4/24)</f>
        <v>46292</v>
      </c>
    </row>
    <row r="1031" customFormat="false" ht="15" hidden="false" customHeight="false" outlineLevel="0" collapsed="false">
      <c r="A1031" s="30" t="n">
        <v>46292.4895833333</v>
      </c>
      <c r="B1031" s="31" t="s">
        <v>80</v>
      </c>
      <c r="C1031" s="31"/>
      <c r="D1031" s="31"/>
      <c r="E1031" s="31"/>
      <c r="F1031" s="26" t="n">
        <f aca="false">INT(A1031-4/24)</f>
        <v>46292</v>
      </c>
    </row>
    <row r="1032" customFormat="false" ht="15" hidden="false" customHeight="false" outlineLevel="0" collapsed="false">
      <c r="A1032" s="30" t="n">
        <v>46292.5145833333</v>
      </c>
      <c r="B1032" s="31" t="s">
        <v>81</v>
      </c>
      <c r="C1032" s="31"/>
      <c r="D1032" s="31"/>
      <c r="E1032" s="31"/>
      <c r="F1032" s="26" t="n">
        <f aca="false">INT(A1032-4/24)</f>
        <v>46292</v>
      </c>
    </row>
    <row r="1033" customFormat="false" ht="15" hidden="false" customHeight="false" outlineLevel="0" collapsed="false">
      <c r="A1033" s="30" t="n">
        <v>46292.5291666667</v>
      </c>
      <c r="B1033" s="31" t="s">
        <v>77</v>
      </c>
      <c r="C1033" s="31" t="n">
        <v>5</v>
      </c>
      <c r="D1033" s="31"/>
      <c r="E1033" s="31"/>
      <c r="F1033" s="26" t="n">
        <f aca="false">INT(A1033-4/24)</f>
        <v>46292</v>
      </c>
    </row>
    <row r="1034" customFormat="false" ht="15" hidden="false" customHeight="false" outlineLevel="0" collapsed="false">
      <c r="A1034" s="30" t="n">
        <v>46292.54375</v>
      </c>
      <c r="B1034" s="31" t="s">
        <v>74</v>
      </c>
      <c r="C1034" s="31"/>
      <c r="D1034" s="31" t="s">
        <v>82</v>
      </c>
      <c r="E1034" s="31"/>
      <c r="F1034" s="26" t="n">
        <f aca="false">INT(A1034-4/24)</f>
        <v>46292</v>
      </c>
    </row>
    <row r="1035" customFormat="false" ht="15" hidden="false" customHeight="false" outlineLevel="0" collapsed="false">
      <c r="A1035" s="30" t="n">
        <v>46292.6770833333</v>
      </c>
      <c r="B1035" s="31" t="s">
        <v>75</v>
      </c>
      <c r="C1035" s="31"/>
      <c r="D1035" s="31"/>
      <c r="E1035" s="31"/>
      <c r="F1035" s="26" t="n">
        <f aca="false">INT(A1035-4/24)</f>
        <v>46292</v>
      </c>
    </row>
    <row r="1036" customFormat="false" ht="15" hidden="false" customHeight="false" outlineLevel="0" collapsed="false">
      <c r="A1036" s="30" t="n">
        <v>46292.6770833333</v>
      </c>
      <c r="B1036" s="31" t="s">
        <v>77</v>
      </c>
      <c r="C1036" s="31" t="n">
        <v>5</v>
      </c>
      <c r="D1036" s="31"/>
      <c r="E1036" s="31"/>
      <c r="F1036" s="26" t="n">
        <f aca="false">INT(A1036-4/24)</f>
        <v>46292</v>
      </c>
    </row>
    <row r="1037" customFormat="false" ht="15" hidden="false" customHeight="false" outlineLevel="0" collapsed="false">
      <c r="A1037" s="30" t="n">
        <v>46292.7083333333</v>
      </c>
      <c r="B1037" s="31" t="s">
        <v>74</v>
      </c>
      <c r="C1037" s="31"/>
      <c r="D1037" s="31" t="s">
        <v>82</v>
      </c>
      <c r="E1037" s="31"/>
      <c r="F1037" s="26" t="n">
        <f aca="false">INT(A1037-4/24)</f>
        <v>46292</v>
      </c>
    </row>
    <row r="1038" customFormat="false" ht="15" hidden="false" customHeight="false" outlineLevel="0" collapsed="false">
      <c r="A1038" s="30" t="n">
        <v>46292.7430555556</v>
      </c>
      <c r="B1038" s="31" t="s">
        <v>80</v>
      </c>
      <c r="C1038" s="31"/>
      <c r="D1038" s="31"/>
      <c r="E1038" s="31"/>
      <c r="F1038" s="26" t="n">
        <f aca="false">INT(A1038-4/24)</f>
        <v>46292</v>
      </c>
    </row>
    <row r="1039" customFormat="false" ht="15" hidden="false" customHeight="false" outlineLevel="0" collapsed="false">
      <c r="A1039" s="30" t="n">
        <v>46292.81875</v>
      </c>
      <c r="B1039" s="31" t="s">
        <v>81</v>
      </c>
      <c r="C1039" s="31"/>
      <c r="D1039" s="31"/>
      <c r="E1039" s="31"/>
      <c r="F1039" s="26" t="n">
        <f aca="false">INT(A1039-4/24)</f>
        <v>46292</v>
      </c>
    </row>
    <row r="1040" customFormat="false" ht="15" hidden="false" customHeight="false" outlineLevel="0" collapsed="false">
      <c r="A1040" s="30" t="n">
        <v>46292.8354166667</v>
      </c>
      <c r="B1040" s="31" t="s">
        <v>74</v>
      </c>
      <c r="C1040" s="31"/>
      <c r="D1040" s="31" t="s">
        <v>82</v>
      </c>
      <c r="E1040" s="31"/>
      <c r="F1040" s="26" t="n">
        <f aca="false">INT(A1040-4/24)</f>
        <v>46292</v>
      </c>
    </row>
    <row r="1041" customFormat="false" ht="15" hidden="false" customHeight="false" outlineLevel="0" collapsed="false">
      <c r="A1041" s="30" t="n">
        <v>46292.8541666667</v>
      </c>
      <c r="B1041" s="31" t="s">
        <v>77</v>
      </c>
      <c r="C1041" s="31" t="n">
        <v>5</v>
      </c>
      <c r="D1041" s="31"/>
      <c r="E1041" s="31"/>
      <c r="F1041" s="26" t="n">
        <f aca="false">INT(A1041-4/24)</f>
        <v>46292</v>
      </c>
    </row>
    <row r="1042" customFormat="false" ht="15" hidden="false" customHeight="false" outlineLevel="0" collapsed="false">
      <c r="A1042" s="30" t="n">
        <v>46292.9166666667</v>
      </c>
      <c r="B1042" s="31" t="s">
        <v>74</v>
      </c>
      <c r="C1042" s="31"/>
      <c r="D1042" s="31" t="s">
        <v>82</v>
      </c>
      <c r="E1042" s="31"/>
      <c r="F1042" s="26" t="n">
        <f aca="false">INT(A1042-4/24)</f>
        <v>46292</v>
      </c>
    </row>
    <row r="1043" customFormat="false" ht="15" hidden="false" customHeight="false" outlineLevel="0" collapsed="false">
      <c r="A1043" s="30" t="n">
        <v>46292.9930555556</v>
      </c>
      <c r="B1043" s="31" t="s">
        <v>74</v>
      </c>
      <c r="C1043" s="31"/>
      <c r="D1043" s="31" t="s">
        <v>82</v>
      </c>
      <c r="E1043" s="31"/>
      <c r="F1043" s="26" t="n">
        <f aca="false">INT(A1043-4/24)</f>
        <v>46292</v>
      </c>
    </row>
    <row r="1044" customFormat="false" ht="15" hidden="false" customHeight="false" outlineLevel="0" collapsed="false">
      <c r="A1044" s="30" t="n">
        <v>46292.9951388889</v>
      </c>
      <c r="B1044" s="31" t="s">
        <v>75</v>
      </c>
      <c r="C1044" s="31"/>
      <c r="D1044" s="31"/>
      <c r="E1044" s="31"/>
      <c r="F1044" s="26" t="n">
        <f aca="false">INT(A1044-4/24)</f>
        <v>46292</v>
      </c>
    </row>
    <row r="1045" customFormat="false" ht="15" hidden="false" customHeight="false" outlineLevel="0" collapsed="false">
      <c r="A1045" s="30" t="n">
        <v>46292.9958333333</v>
      </c>
      <c r="B1045" s="31" t="s">
        <v>77</v>
      </c>
      <c r="C1045" s="31" t="n">
        <v>5</v>
      </c>
      <c r="D1045" s="31"/>
      <c r="E1045" s="31"/>
      <c r="F1045" s="26" t="n">
        <f aca="false">INT(A1045-4/24)</f>
        <v>46292</v>
      </c>
    </row>
    <row r="1046" customFormat="false" ht="15" hidden="false" customHeight="false" outlineLevel="0" collapsed="false">
      <c r="A1046" s="30" t="n">
        <v>46293.0020833333</v>
      </c>
      <c r="B1046" s="31" t="s">
        <v>80</v>
      </c>
      <c r="C1046" s="31"/>
      <c r="D1046" s="31"/>
      <c r="E1046" s="31"/>
      <c r="F1046" s="26" t="n">
        <f aca="false">INT(A1046-4/24)</f>
        <v>46292</v>
      </c>
    </row>
    <row r="1047" customFormat="false" ht="15" hidden="false" customHeight="false" outlineLevel="0" collapsed="false">
      <c r="A1047" s="30" t="n">
        <v>46293.0368055556</v>
      </c>
      <c r="B1047" s="31" t="s">
        <v>81</v>
      </c>
      <c r="C1047" s="31"/>
      <c r="D1047" s="31"/>
      <c r="E1047" s="31"/>
      <c r="F1047" s="26" t="n">
        <f aca="false">INT(A1047-4/24)</f>
        <v>46292</v>
      </c>
    </row>
    <row r="1048" customFormat="false" ht="15" hidden="false" customHeight="false" outlineLevel="0" collapsed="false">
      <c r="A1048" s="30" t="n">
        <v>46293.2638888889</v>
      </c>
      <c r="B1048" s="31" t="s">
        <v>79</v>
      </c>
      <c r="C1048" s="31"/>
      <c r="D1048" s="31"/>
      <c r="E1048" s="31"/>
      <c r="F1048" s="26" t="n">
        <f aca="false">INT(A1048-4/24)</f>
        <v>46293</v>
      </c>
    </row>
    <row r="1049" customFormat="false" ht="15" hidden="false" customHeight="false" outlineLevel="0" collapsed="false">
      <c r="A1049" s="30" t="n">
        <v>46293.2694444444</v>
      </c>
      <c r="B1049" s="31" t="s">
        <v>74</v>
      </c>
      <c r="C1049" s="31"/>
      <c r="D1049" s="31" t="s">
        <v>82</v>
      </c>
      <c r="E1049" s="31"/>
      <c r="F1049" s="26" t="n">
        <f aca="false">INT(A1049-4/24)</f>
        <v>46293</v>
      </c>
    </row>
    <row r="1050" customFormat="false" ht="15" hidden="false" customHeight="false" outlineLevel="0" collapsed="false">
      <c r="A1050" s="30" t="n">
        <v>46293.2840277778</v>
      </c>
      <c r="B1050" s="31" t="s">
        <v>77</v>
      </c>
      <c r="C1050" s="31" t="n">
        <v>6</v>
      </c>
      <c r="D1050" s="31"/>
      <c r="E1050" s="31"/>
      <c r="F1050" s="26" t="n">
        <f aca="false">INT(A1050-4/24)</f>
        <v>46293</v>
      </c>
    </row>
    <row r="1051" customFormat="false" ht="15" hidden="false" customHeight="false" outlineLevel="0" collapsed="false">
      <c r="A1051" s="30" t="n">
        <v>46293.3541666667</v>
      </c>
      <c r="B1051" s="31" t="s">
        <v>80</v>
      </c>
      <c r="C1051" s="31"/>
      <c r="D1051" s="31"/>
      <c r="E1051" s="31"/>
      <c r="F1051" s="26" t="n">
        <f aca="false">INT(A1051-4/24)</f>
        <v>46293</v>
      </c>
    </row>
    <row r="1052" customFormat="false" ht="15" hidden="false" customHeight="false" outlineLevel="0" collapsed="false">
      <c r="A1052" s="30" t="n">
        <v>46293.4555555556</v>
      </c>
      <c r="B1052" s="31" t="s">
        <v>81</v>
      </c>
      <c r="C1052" s="31"/>
      <c r="D1052" s="31"/>
      <c r="E1052" s="31"/>
      <c r="F1052" s="26" t="n">
        <f aca="false">INT(A1052-4/24)</f>
        <v>46293</v>
      </c>
    </row>
    <row r="1053" customFormat="false" ht="15" hidden="false" customHeight="false" outlineLevel="0" collapsed="false">
      <c r="A1053" s="30" t="n">
        <v>46293.4555555556</v>
      </c>
      <c r="B1053" s="31" t="s">
        <v>74</v>
      </c>
      <c r="C1053" s="31"/>
      <c r="D1053" s="31" t="s">
        <v>82</v>
      </c>
      <c r="E1053" s="31"/>
      <c r="F1053" s="26" t="n">
        <f aca="false">INT(A1053-4/24)</f>
        <v>46293</v>
      </c>
    </row>
    <row r="1054" customFormat="false" ht="15" hidden="false" customHeight="false" outlineLevel="0" collapsed="false">
      <c r="A1054" s="30" t="n">
        <v>46293.4618055556</v>
      </c>
      <c r="B1054" s="31" t="s">
        <v>75</v>
      </c>
      <c r="C1054" s="31"/>
      <c r="D1054" s="31"/>
      <c r="E1054" s="31"/>
      <c r="F1054" s="26" t="n">
        <f aca="false">INT(A1054-4/24)</f>
        <v>46293</v>
      </c>
    </row>
    <row r="1055" customFormat="false" ht="15" hidden="false" customHeight="false" outlineLevel="0" collapsed="false">
      <c r="A1055" s="30" t="n">
        <v>46293.4652777778</v>
      </c>
      <c r="B1055" s="31" t="s">
        <v>77</v>
      </c>
      <c r="C1055" s="31" t="n">
        <v>5</v>
      </c>
      <c r="D1055" s="31"/>
      <c r="E1055" s="31"/>
      <c r="F1055" s="26" t="n">
        <f aca="false">INT(A1055-4/24)</f>
        <v>46293</v>
      </c>
    </row>
    <row r="1056" customFormat="false" ht="15" hidden="false" customHeight="false" outlineLevel="0" collapsed="false">
      <c r="A1056" s="30" t="n">
        <v>46293.5402777778</v>
      </c>
      <c r="B1056" s="31" t="s">
        <v>20</v>
      </c>
      <c r="C1056" s="31"/>
      <c r="D1056" s="31"/>
      <c r="E1056" s="31"/>
      <c r="F1056" s="26" t="n">
        <f aca="false">INT(A1056-4/24)</f>
        <v>46293</v>
      </c>
    </row>
    <row r="1057" customFormat="false" ht="15" hidden="false" customHeight="false" outlineLevel="0" collapsed="false">
      <c r="A1057" s="30" t="n">
        <v>46293.5625</v>
      </c>
      <c r="B1057" s="31" t="s">
        <v>74</v>
      </c>
      <c r="C1057" s="31"/>
      <c r="D1057" s="31" t="s">
        <v>82</v>
      </c>
      <c r="E1057" s="31"/>
      <c r="F1057" s="26" t="n">
        <f aca="false">INT(A1057-4/24)</f>
        <v>46293</v>
      </c>
    </row>
    <row r="1058" customFormat="false" ht="15" hidden="false" customHeight="false" outlineLevel="0" collapsed="false">
      <c r="A1058" s="30" t="n">
        <v>46293.5763888889</v>
      </c>
      <c r="B1058" s="31" t="s">
        <v>80</v>
      </c>
      <c r="C1058" s="31"/>
      <c r="D1058" s="31"/>
      <c r="E1058" s="31"/>
      <c r="F1058" s="26" t="n">
        <f aca="false">INT(A1058-4/24)</f>
        <v>46293</v>
      </c>
    </row>
    <row r="1059" customFormat="false" ht="15" hidden="false" customHeight="false" outlineLevel="0" collapsed="false">
      <c r="A1059" s="30" t="n">
        <v>46293.6458333333</v>
      </c>
      <c r="B1059" s="31" t="s">
        <v>81</v>
      </c>
      <c r="C1059" s="31"/>
      <c r="D1059" s="31"/>
      <c r="E1059" s="31"/>
      <c r="F1059" s="26" t="n">
        <f aca="false">INT(A1059-4/24)</f>
        <v>46293</v>
      </c>
    </row>
    <row r="1060" customFormat="false" ht="15" hidden="false" customHeight="false" outlineLevel="0" collapsed="false">
      <c r="A1060" s="30" t="n">
        <v>46293.6493055556</v>
      </c>
      <c r="B1060" s="31" t="s">
        <v>77</v>
      </c>
      <c r="C1060" s="31" t="n">
        <v>5</v>
      </c>
      <c r="D1060" s="31"/>
      <c r="E1060" s="31"/>
      <c r="F1060" s="26" t="n">
        <f aca="false">INT(A1060-4/24)</f>
        <v>46293</v>
      </c>
    </row>
    <row r="1061" customFormat="false" ht="15" hidden="false" customHeight="false" outlineLevel="0" collapsed="false">
      <c r="A1061" s="30" t="n">
        <v>46293.7118055556</v>
      </c>
      <c r="B1061" s="31" t="s">
        <v>74</v>
      </c>
      <c r="C1061" s="31"/>
      <c r="D1061" s="31" t="s">
        <v>84</v>
      </c>
      <c r="E1061" s="31"/>
      <c r="F1061" s="26" t="n">
        <f aca="false">INT(A1061-4/24)</f>
        <v>46293</v>
      </c>
    </row>
    <row r="1062" customFormat="false" ht="15" hidden="false" customHeight="false" outlineLevel="0" collapsed="false">
      <c r="A1062" s="30" t="n">
        <v>46293.7430555556</v>
      </c>
      <c r="B1062" s="31" t="s">
        <v>75</v>
      </c>
      <c r="C1062" s="31"/>
      <c r="D1062" s="31"/>
      <c r="E1062" s="31"/>
      <c r="F1062" s="26" t="n">
        <f aca="false">INT(A1062-4/24)</f>
        <v>46293</v>
      </c>
    </row>
    <row r="1063" customFormat="false" ht="15" hidden="false" customHeight="false" outlineLevel="0" collapsed="false">
      <c r="A1063" s="30" t="n">
        <v>46293.7493055556</v>
      </c>
      <c r="B1063" s="31" t="s">
        <v>80</v>
      </c>
      <c r="C1063" s="31"/>
      <c r="D1063" s="31"/>
      <c r="E1063" s="31"/>
      <c r="F1063" s="26" t="n">
        <f aca="false">INT(A1063-4/24)</f>
        <v>46293</v>
      </c>
    </row>
    <row r="1064" customFormat="false" ht="15" hidden="false" customHeight="false" outlineLevel="0" collapsed="false">
      <c r="A1064" s="30" t="n">
        <v>46293.7673611111</v>
      </c>
      <c r="B1064" s="31" t="s">
        <v>81</v>
      </c>
      <c r="C1064" s="31"/>
      <c r="D1064" s="31"/>
      <c r="E1064" s="31"/>
      <c r="F1064" s="26" t="n">
        <f aca="false">INT(A1064-4/24)</f>
        <v>46293</v>
      </c>
    </row>
    <row r="1065" customFormat="false" ht="15" hidden="false" customHeight="false" outlineLevel="0" collapsed="false">
      <c r="A1065" s="30" t="n">
        <v>46293.7888888889</v>
      </c>
      <c r="B1065" s="31" t="s">
        <v>74</v>
      </c>
      <c r="C1065" s="31"/>
      <c r="D1065" s="31" t="s">
        <v>82</v>
      </c>
      <c r="E1065" s="31"/>
      <c r="F1065" s="26" t="n">
        <f aca="false">INT(A1065-4/24)</f>
        <v>46293</v>
      </c>
    </row>
    <row r="1066" customFormat="false" ht="15" hidden="false" customHeight="false" outlineLevel="0" collapsed="false">
      <c r="A1066" s="30" t="n">
        <v>46293.8118055556</v>
      </c>
      <c r="B1066" s="31" t="s">
        <v>77</v>
      </c>
      <c r="C1066" s="31" t="n">
        <v>5</v>
      </c>
      <c r="D1066" s="31"/>
      <c r="E1066" s="31"/>
      <c r="F1066" s="26" t="n">
        <f aca="false">INT(A1066-4/24)</f>
        <v>46293</v>
      </c>
    </row>
    <row r="1067" customFormat="false" ht="15" hidden="false" customHeight="false" outlineLevel="0" collapsed="false">
      <c r="A1067" s="30" t="n">
        <v>46293.8923611111</v>
      </c>
      <c r="B1067" s="31" t="s">
        <v>74</v>
      </c>
      <c r="C1067" s="31"/>
      <c r="D1067" s="31" t="s">
        <v>82</v>
      </c>
      <c r="E1067" s="31"/>
      <c r="F1067" s="26" t="n">
        <f aca="false">INT(A1067-4/24)</f>
        <v>46293</v>
      </c>
    </row>
    <row r="1068" customFormat="false" ht="15" hidden="false" customHeight="false" outlineLevel="0" collapsed="false">
      <c r="A1068" s="30" t="n">
        <v>46293.9722222222</v>
      </c>
      <c r="B1068" s="31" t="s">
        <v>74</v>
      </c>
      <c r="C1068" s="31"/>
      <c r="D1068" s="31" t="s">
        <v>82</v>
      </c>
      <c r="E1068" s="31"/>
      <c r="F1068" s="26" t="n">
        <f aca="false">INT(A1068-4/24)</f>
        <v>46293</v>
      </c>
    </row>
    <row r="1069" customFormat="false" ht="15" hidden="false" customHeight="false" outlineLevel="0" collapsed="false">
      <c r="A1069" s="30" t="n">
        <v>46293.98125</v>
      </c>
      <c r="B1069" s="31" t="s">
        <v>75</v>
      </c>
      <c r="C1069" s="31"/>
      <c r="D1069" s="31"/>
      <c r="E1069" s="31"/>
      <c r="F1069" s="26" t="n">
        <f aca="false">INT(A1069-4/24)</f>
        <v>46293</v>
      </c>
    </row>
    <row r="1070" customFormat="false" ht="15" hidden="false" customHeight="false" outlineLevel="0" collapsed="false">
      <c r="A1070" s="30" t="n">
        <v>46293.98125</v>
      </c>
      <c r="B1070" s="31" t="s">
        <v>77</v>
      </c>
      <c r="C1070" s="31" t="n">
        <v>6</v>
      </c>
      <c r="D1070" s="31"/>
      <c r="E1070" s="31"/>
      <c r="F1070" s="26" t="n">
        <f aca="false">INT(A1070-4/24)</f>
        <v>46293</v>
      </c>
    </row>
    <row r="1071" customFormat="false" ht="15" hidden="false" customHeight="false" outlineLevel="0" collapsed="false">
      <c r="A1071" s="30" t="n">
        <v>46294.05625</v>
      </c>
      <c r="B1071" s="31" t="s">
        <v>80</v>
      </c>
      <c r="C1071" s="31"/>
      <c r="D1071" s="31"/>
      <c r="E1071" s="31"/>
      <c r="F1071" s="26" t="n">
        <f aca="false">INT(A1071-4/24)</f>
        <v>46293</v>
      </c>
    </row>
    <row r="1072" customFormat="false" ht="15" hidden="false" customHeight="false" outlineLevel="0" collapsed="false">
      <c r="A1072" s="30" t="n">
        <v>46294.0819444444</v>
      </c>
      <c r="B1072" s="31" t="s">
        <v>81</v>
      </c>
      <c r="C1072" s="31"/>
      <c r="D1072" s="31"/>
      <c r="E1072" s="31"/>
      <c r="F1072" s="26" t="n">
        <f aca="false">INT(A1072-4/24)</f>
        <v>46293</v>
      </c>
    </row>
    <row r="1073" customFormat="false" ht="15" hidden="false" customHeight="false" outlineLevel="0" collapsed="false">
      <c r="A1073" s="30" t="n">
        <v>46294.0819444444</v>
      </c>
      <c r="B1073" s="31" t="s">
        <v>20</v>
      </c>
      <c r="C1073" s="31"/>
      <c r="D1073" s="31"/>
      <c r="E1073" s="31"/>
      <c r="F1073" s="26" t="n">
        <f aca="false">INT(A1073-4/24)</f>
        <v>46293</v>
      </c>
    </row>
    <row r="1074" customFormat="false" ht="15" hidden="false" customHeight="false" outlineLevel="0" collapsed="false">
      <c r="A1074" s="30" t="n">
        <v>46294.3541666667</v>
      </c>
      <c r="B1074" s="31" t="s">
        <v>79</v>
      </c>
      <c r="C1074" s="31"/>
      <c r="D1074" s="31"/>
      <c r="E1074" s="31"/>
      <c r="F1074" s="26" t="n">
        <f aca="false">INT(A1074-4/24)</f>
        <v>46294</v>
      </c>
    </row>
    <row r="1075" customFormat="false" ht="15" hidden="false" customHeight="false" outlineLevel="0" collapsed="false">
      <c r="A1075" s="30" t="n">
        <v>46294.3819444445</v>
      </c>
      <c r="B1075" s="31" t="s">
        <v>74</v>
      </c>
      <c r="C1075" s="31"/>
      <c r="D1075" s="31" t="s">
        <v>82</v>
      </c>
      <c r="E1075" s="31"/>
      <c r="F1075" s="26" t="n">
        <f aca="false">INT(A1075-4/24)</f>
        <v>46294</v>
      </c>
    </row>
    <row r="1076" customFormat="false" ht="15" hidden="false" customHeight="false" outlineLevel="0" collapsed="false">
      <c r="A1076" s="30" t="n">
        <v>46294.3881944444</v>
      </c>
      <c r="B1076" s="31" t="s">
        <v>75</v>
      </c>
      <c r="C1076" s="31"/>
      <c r="D1076" s="31"/>
      <c r="E1076" s="31"/>
      <c r="F1076" s="26" t="n">
        <f aca="false">INT(A1076-4/24)</f>
        <v>46294</v>
      </c>
    </row>
    <row r="1077" customFormat="false" ht="15" hidden="false" customHeight="false" outlineLevel="0" collapsed="false">
      <c r="A1077" s="30" t="n">
        <v>46294.3888888889</v>
      </c>
      <c r="B1077" s="31" t="s">
        <v>77</v>
      </c>
      <c r="C1077" s="31" t="n">
        <v>5</v>
      </c>
      <c r="D1077" s="31"/>
      <c r="E1077" s="31"/>
      <c r="F1077" s="26" t="n">
        <f aca="false">INT(A1077-4/24)</f>
        <v>46294</v>
      </c>
    </row>
    <row r="1078" customFormat="false" ht="15" hidden="false" customHeight="false" outlineLevel="0" collapsed="false">
      <c r="A1078" s="30" t="n">
        <v>46294.5104166667</v>
      </c>
      <c r="B1078" s="31" t="s">
        <v>77</v>
      </c>
      <c r="C1078" s="31" t="n">
        <v>5</v>
      </c>
      <c r="D1078" s="31"/>
      <c r="E1078" s="31"/>
      <c r="F1078" s="26" t="n">
        <f aca="false">INT(A1078-4/24)</f>
        <v>46294</v>
      </c>
    </row>
    <row r="1079" customFormat="false" ht="15" hidden="false" customHeight="false" outlineLevel="0" collapsed="false">
      <c r="A1079" s="30" t="n">
        <v>46294.55</v>
      </c>
      <c r="B1079" s="31" t="s">
        <v>74</v>
      </c>
      <c r="C1079" s="31"/>
      <c r="D1079" s="31" t="s">
        <v>82</v>
      </c>
      <c r="E1079" s="31"/>
      <c r="F1079" s="26" t="n">
        <f aca="false">INT(A1079-4/24)</f>
        <v>46294</v>
      </c>
    </row>
    <row r="1080" customFormat="false" ht="15" hidden="false" customHeight="false" outlineLevel="0" collapsed="false">
      <c r="A1080" s="30" t="n">
        <v>46294.5979166667</v>
      </c>
      <c r="B1080" s="31" t="s">
        <v>80</v>
      </c>
      <c r="C1080" s="31"/>
      <c r="D1080" s="31"/>
      <c r="E1080" s="31"/>
      <c r="F1080" s="26" t="n">
        <f aca="false">INT(A1080-4/24)</f>
        <v>46294</v>
      </c>
    </row>
    <row r="1081" customFormat="false" ht="15" hidden="false" customHeight="false" outlineLevel="0" collapsed="false">
      <c r="A1081" s="30" t="n">
        <v>46294.6659722222</v>
      </c>
      <c r="B1081" s="31" t="s">
        <v>81</v>
      </c>
      <c r="C1081" s="31"/>
      <c r="D1081" s="31"/>
      <c r="E1081" s="31"/>
      <c r="F1081" s="26" t="n">
        <f aca="false">INT(A1081-4/24)</f>
        <v>46294</v>
      </c>
    </row>
    <row r="1082" customFormat="false" ht="15" hidden="false" customHeight="false" outlineLevel="0" collapsed="false">
      <c r="A1082" s="30" t="n">
        <v>46294.6666666667</v>
      </c>
      <c r="B1082" s="31" t="s">
        <v>77</v>
      </c>
      <c r="C1082" s="31" t="n">
        <v>5</v>
      </c>
      <c r="D1082" s="31"/>
      <c r="E1082" s="31"/>
      <c r="F1082" s="26" t="n">
        <f aca="false">INT(A1082-4/24)</f>
        <v>46294</v>
      </c>
    </row>
    <row r="1083" customFormat="false" ht="15" hidden="false" customHeight="false" outlineLevel="0" collapsed="false">
      <c r="A1083" s="30" t="n">
        <v>46294.7083333333</v>
      </c>
      <c r="B1083" s="31" t="s">
        <v>75</v>
      </c>
      <c r="C1083" s="31"/>
      <c r="D1083" s="31"/>
      <c r="E1083" s="31"/>
      <c r="F1083" s="26" t="n">
        <f aca="false">INT(A1083-4/24)</f>
        <v>46294</v>
      </c>
    </row>
    <row r="1084" customFormat="false" ht="15" hidden="false" customHeight="false" outlineLevel="0" collapsed="false">
      <c r="A1084" s="30" t="n">
        <v>46294.7722222222</v>
      </c>
      <c r="B1084" s="31" t="s">
        <v>74</v>
      </c>
      <c r="C1084" s="31"/>
      <c r="D1084" s="31" t="s">
        <v>82</v>
      </c>
      <c r="E1084" s="31"/>
      <c r="F1084" s="26" t="n">
        <f aca="false">INT(A1084-4/24)</f>
        <v>46294</v>
      </c>
    </row>
    <row r="1085" customFormat="false" ht="15" hidden="false" customHeight="false" outlineLevel="0" collapsed="false">
      <c r="A1085" s="30" t="n">
        <v>46294.8173611111</v>
      </c>
      <c r="B1085" s="31" t="s">
        <v>77</v>
      </c>
      <c r="C1085" s="31" t="n">
        <v>5</v>
      </c>
      <c r="D1085" s="31"/>
      <c r="E1085" s="31"/>
      <c r="F1085" s="26" t="n">
        <f aca="false">INT(A1085-4/24)</f>
        <v>46294</v>
      </c>
    </row>
    <row r="1086" customFormat="false" ht="15" hidden="false" customHeight="false" outlineLevel="0" collapsed="false">
      <c r="A1086" s="30" t="n">
        <v>46294.8680555556</v>
      </c>
      <c r="B1086" s="31" t="s">
        <v>74</v>
      </c>
      <c r="C1086" s="31"/>
      <c r="D1086" s="31" t="s">
        <v>82</v>
      </c>
      <c r="E1086" s="31"/>
      <c r="F1086" s="26" t="n">
        <f aca="false">INT(A1086-4/24)</f>
        <v>46294</v>
      </c>
    </row>
    <row r="1087" customFormat="false" ht="15" hidden="false" customHeight="false" outlineLevel="0" collapsed="false">
      <c r="A1087" s="30" t="n">
        <v>46294.8888888889</v>
      </c>
      <c r="B1087" s="31" t="s">
        <v>80</v>
      </c>
      <c r="C1087" s="31"/>
      <c r="D1087" s="31"/>
      <c r="E1087" s="31"/>
      <c r="F1087" s="26" t="n">
        <f aca="false">INT(A1087-4/24)</f>
        <v>46294</v>
      </c>
    </row>
    <row r="1088" customFormat="false" ht="15" hidden="false" customHeight="false" outlineLevel="0" collapsed="false">
      <c r="A1088" s="30" t="n">
        <v>46294.9263888889</v>
      </c>
      <c r="B1088" s="31" t="s">
        <v>81</v>
      </c>
      <c r="C1088" s="31"/>
      <c r="D1088" s="31"/>
      <c r="E1088" s="31"/>
      <c r="F1088" s="26" t="n">
        <f aca="false">INT(A1088-4/24)</f>
        <v>46294</v>
      </c>
    </row>
    <row r="1089" customFormat="false" ht="15" hidden="false" customHeight="false" outlineLevel="0" collapsed="false">
      <c r="A1089" s="30" t="n">
        <v>46294.9819444444</v>
      </c>
      <c r="B1089" s="31" t="s">
        <v>74</v>
      </c>
      <c r="C1089" s="31"/>
      <c r="D1089" s="31" t="s">
        <v>82</v>
      </c>
      <c r="E1089" s="31"/>
      <c r="F1089" s="26" t="n">
        <f aca="false">INT(A1089-4/24)</f>
        <v>46294</v>
      </c>
    </row>
    <row r="1090" customFormat="false" ht="15" hidden="false" customHeight="false" outlineLevel="0" collapsed="false">
      <c r="A1090" s="30" t="n">
        <v>46294.9854166667</v>
      </c>
      <c r="B1090" s="31" t="s">
        <v>77</v>
      </c>
      <c r="C1090" s="31" t="n">
        <v>5</v>
      </c>
      <c r="D1090" s="31"/>
      <c r="E1090" s="31"/>
      <c r="F1090" s="26" t="n">
        <f aca="false">INT(A1090-4/24)</f>
        <v>46294</v>
      </c>
    </row>
    <row r="1091" customFormat="false" ht="15" hidden="false" customHeight="false" outlineLevel="0" collapsed="false">
      <c r="A1091" s="30" t="n">
        <v>46294.9993055556</v>
      </c>
      <c r="B1091" s="31" t="s">
        <v>75</v>
      </c>
      <c r="C1091" s="31"/>
      <c r="D1091" s="31"/>
      <c r="E1091" s="31"/>
      <c r="F1091" s="26" t="n">
        <f aca="false">INT(A1091-4/24)</f>
        <v>46294</v>
      </c>
    </row>
    <row r="1092" customFormat="false" ht="15" hidden="false" customHeight="false" outlineLevel="0" collapsed="false">
      <c r="A1092" s="30" t="n">
        <v>46295.0416666667</v>
      </c>
      <c r="B1092" s="31" t="s">
        <v>80</v>
      </c>
      <c r="C1092" s="31"/>
      <c r="D1092" s="31"/>
      <c r="E1092" s="31"/>
      <c r="F1092" s="26" t="n">
        <f aca="false">INT(A1092-4/24)</f>
        <v>46294</v>
      </c>
    </row>
    <row r="1093" customFormat="false" ht="15" hidden="false" customHeight="false" outlineLevel="0" collapsed="false">
      <c r="A1093" s="30" t="n">
        <v>46295.0673611111</v>
      </c>
      <c r="B1093" s="31" t="s">
        <v>81</v>
      </c>
      <c r="C1093" s="31"/>
      <c r="D1093" s="31"/>
      <c r="E1093" s="31"/>
      <c r="F1093" s="26" t="n">
        <f aca="false">INT(A1093-4/24)</f>
        <v>46294</v>
      </c>
    </row>
    <row r="1094" customFormat="false" ht="15" hidden="false" customHeight="false" outlineLevel="0" collapsed="false">
      <c r="A1094" s="30" t="n">
        <v>46295.0673611111</v>
      </c>
      <c r="B1094" s="31" t="s">
        <v>20</v>
      </c>
      <c r="C1094" s="31"/>
      <c r="D1094" s="31"/>
      <c r="E1094" s="31"/>
      <c r="F1094" s="26" t="n">
        <f aca="false">INT(A1094-4/24)</f>
        <v>46294</v>
      </c>
    </row>
    <row r="1095" customFormat="false" ht="15" hidden="false" customHeight="false" outlineLevel="0" collapsed="false">
      <c r="A1095" s="30" t="n">
        <v>46295.3472222222</v>
      </c>
      <c r="B1095" s="31" t="s">
        <v>79</v>
      </c>
      <c r="C1095" s="31"/>
      <c r="D1095" s="31"/>
      <c r="E1095" s="31"/>
      <c r="F1095" s="26" t="n">
        <f aca="false">INT(A1095-4/24)</f>
        <v>46295</v>
      </c>
    </row>
    <row r="1096" customFormat="false" ht="15" hidden="false" customHeight="false" outlineLevel="0" collapsed="false">
      <c r="A1096" s="30" t="n">
        <v>46295.3576388889</v>
      </c>
      <c r="B1096" s="31" t="s">
        <v>74</v>
      </c>
      <c r="C1096" s="31"/>
      <c r="D1096" s="31" t="s">
        <v>83</v>
      </c>
      <c r="E1096" s="31"/>
      <c r="F1096" s="26" t="n">
        <f aca="false">INT(A1096-4/24)</f>
        <v>46295</v>
      </c>
    </row>
    <row r="1097" customFormat="false" ht="15" hidden="false" customHeight="false" outlineLevel="0" collapsed="false">
      <c r="A1097" s="30" t="n">
        <v>46295.3625</v>
      </c>
      <c r="B1097" s="31" t="s">
        <v>75</v>
      </c>
      <c r="C1097" s="31"/>
      <c r="D1097" s="31"/>
      <c r="E1097" s="31"/>
      <c r="F1097" s="26" t="n">
        <f aca="false">INT(A1097-4/24)</f>
        <v>46295</v>
      </c>
    </row>
    <row r="1098" customFormat="false" ht="15" hidden="false" customHeight="false" outlineLevel="0" collapsed="false">
      <c r="A1098" s="30" t="n">
        <v>46295.3631944444</v>
      </c>
      <c r="B1098" s="31" t="s">
        <v>77</v>
      </c>
      <c r="C1098" s="31" t="n">
        <v>5</v>
      </c>
      <c r="D1098" s="31"/>
      <c r="E1098" s="31"/>
      <c r="F1098" s="26" t="n">
        <f aca="false">INT(A1098-4/24)</f>
        <v>46295</v>
      </c>
    </row>
    <row r="1099" customFormat="false" ht="15" hidden="false" customHeight="false" outlineLevel="0" collapsed="false">
      <c r="A1099" s="30" t="n">
        <v>46295.4333333333</v>
      </c>
      <c r="B1099" s="31" t="s">
        <v>74</v>
      </c>
      <c r="C1099" s="31"/>
      <c r="D1099" s="31" t="s">
        <v>84</v>
      </c>
      <c r="E1099" s="31"/>
      <c r="F1099" s="26" t="n">
        <f aca="false">INT(A1099-4/24)</f>
        <v>46295</v>
      </c>
    </row>
    <row r="1100" customFormat="false" ht="15" hidden="false" customHeight="false" outlineLevel="0" collapsed="false">
      <c r="A1100" s="30" t="n">
        <v>46295.4791666667</v>
      </c>
      <c r="B1100" s="31" t="s">
        <v>77</v>
      </c>
      <c r="C1100" s="31" t="n">
        <v>5</v>
      </c>
      <c r="D1100" s="31"/>
      <c r="E1100" s="31"/>
      <c r="F1100" s="26" t="n">
        <f aca="false">INT(A1100-4/24)</f>
        <v>46295</v>
      </c>
    </row>
    <row r="1101" customFormat="false" ht="15" hidden="false" customHeight="false" outlineLevel="0" collapsed="false">
      <c r="A1101" s="30" t="n">
        <v>46295.5520833333</v>
      </c>
      <c r="B1101" s="31" t="s">
        <v>74</v>
      </c>
      <c r="C1101" s="31"/>
      <c r="D1101" s="31" t="s">
        <v>83</v>
      </c>
      <c r="E1101" s="31"/>
      <c r="F1101" s="26" t="n">
        <f aca="false">INT(A1101-4/24)</f>
        <v>46295</v>
      </c>
    </row>
    <row r="1102" customFormat="false" ht="15" hidden="false" customHeight="false" outlineLevel="0" collapsed="false">
      <c r="A1102" s="30" t="n">
        <v>46295.6465277778</v>
      </c>
      <c r="B1102" s="31" t="s">
        <v>77</v>
      </c>
      <c r="C1102" s="31" t="n">
        <v>6</v>
      </c>
      <c r="D1102" s="31"/>
      <c r="E1102" s="31"/>
      <c r="F1102" s="26" t="n">
        <f aca="false">INT(A1102-4/24)</f>
        <v>46295</v>
      </c>
    </row>
    <row r="1103" customFormat="false" ht="15" hidden="false" customHeight="false" outlineLevel="0" collapsed="false">
      <c r="A1103" s="30" t="n">
        <v>46295.7013888889</v>
      </c>
      <c r="B1103" s="31" t="s">
        <v>80</v>
      </c>
      <c r="C1103" s="31"/>
      <c r="D1103" s="31"/>
      <c r="E1103" s="31"/>
      <c r="F1103" s="26" t="n">
        <f aca="false">INT(A1103-4/24)</f>
        <v>46295</v>
      </c>
    </row>
    <row r="1104" customFormat="false" ht="15" hidden="false" customHeight="false" outlineLevel="0" collapsed="false">
      <c r="A1104" s="30" t="n">
        <v>46295.7222222222</v>
      </c>
      <c r="B1104" s="31" t="s">
        <v>81</v>
      </c>
      <c r="C1104" s="31"/>
      <c r="D1104" s="31"/>
      <c r="E1104" s="31"/>
      <c r="F1104" s="26" t="n">
        <f aca="false">INT(A1104-4/24)</f>
        <v>46295</v>
      </c>
    </row>
    <row r="1105" customFormat="false" ht="15" hidden="false" customHeight="false" outlineLevel="0" collapsed="false">
      <c r="A1105" s="30" t="n">
        <v>46295.7631944444</v>
      </c>
      <c r="B1105" s="31" t="s">
        <v>74</v>
      </c>
      <c r="C1105" s="31"/>
      <c r="D1105" s="31" t="s">
        <v>82</v>
      </c>
      <c r="E1105" s="31"/>
      <c r="F1105" s="26" t="n">
        <f aca="false">INT(A1105-4/24)</f>
        <v>46295</v>
      </c>
    </row>
    <row r="1106" customFormat="false" ht="15" hidden="false" customHeight="false" outlineLevel="0" collapsed="false">
      <c r="A1106" s="30" t="n">
        <v>46295.7708333333</v>
      </c>
      <c r="B1106" s="31" t="s">
        <v>75</v>
      </c>
      <c r="C1106" s="31"/>
      <c r="D1106" s="31"/>
      <c r="E1106" s="31"/>
      <c r="F1106" s="26" t="n">
        <f aca="false">INT(A1106-4/24)</f>
        <v>46295</v>
      </c>
    </row>
    <row r="1107" customFormat="false" ht="15" hidden="false" customHeight="false" outlineLevel="0" collapsed="false">
      <c r="A1107" s="30" t="n">
        <v>46295.7763888889</v>
      </c>
      <c r="B1107" s="31" t="s">
        <v>77</v>
      </c>
      <c r="C1107" s="31" t="n">
        <v>5</v>
      </c>
      <c r="D1107" s="31"/>
      <c r="E1107" s="31"/>
      <c r="F1107" s="26" t="n">
        <f aca="false">INT(A1107-4/24)</f>
        <v>46295</v>
      </c>
    </row>
    <row r="1108" customFormat="false" ht="15" hidden="false" customHeight="false" outlineLevel="0" collapsed="false">
      <c r="A1108" s="30" t="n">
        <v>46295.875</v>
      </c>
      <c r="B1108" s="31" t="s">
        <v>80</v>
      </c>
      <c r="C1108" s="31"/>
      <c r="D1108" s="31"/>
      <c r="E1108" s="31"/>
      <c r="F1108" s="26" t="n">
        <f aca="false">INT(A1108-4/24)</f>
        <v>46295</v>
      </c>
    </row>
    <row r="1109" customFormat="false" ht="15" hidden="false" customHeight="false" outlineLevel="0" collapsed="false">
      <c r="A1109" s="30" t="n">
        <v>46295.9201388889</v>
      </c>
      <c r="B1109" s="31" t="s">
        <v>81</v>
      </c>
      <c r="C1109" s="31"/>
      <c r="D1109" s="31"/>
      <c r="E1109" s="31"/>
      <c r="F1109" s="26" t="n">
        <f aca="false">INT(A1109-4/24)</f>
        <v>46295</v>
      </c>
    </row>
    <row r="1110" customFormat="false" ht="15" hidden="false" customHeight="false" outlineLevel="0" collapsed="false">
      <c r="A1110" s="30" t="n">
        <v>46295.9215277778</v>
      </c>
      <c r="B1110" s="31" t="s">
        <v>77</v>
      </c>
      <c r="C1110" s="31" t="n">
        <v>5</v>
      </c>
      <c r="D1110" s="31"/>
      <c r="E1110" s="31"/>
      <c r="F1110" s="26" t="n">
        <f aca="false">INT(A1110-4/24)</f>
        <v>46295</v>
      </c>
    </row>
    <row r="1111" customFormat="false" ht="15" hidden="false" customHeight="false" outlineLevel="0" collapsed="false">
      <c r="A1111" s="30" t="n">
        <v>46295.9270833333</v>
      </c>
      <c r="B1111" s="31" t="s">
        <v>80</v>
      </c>
      <c r="C1111" s="31"/>
      <c r="D1111" s="31"/>
      <c r="E1111" s="31"/>
      <c r="F1111" s="26" t="n">
        <f aca="false">INT(A1111-4/24)</f>
        <v>46295</v>
      </c>
    </row>
    <row r="1112" customFormat="false" ht="15" hidden="false" customHeight="false" outlineLevel="0" collapsed="false">
      <c r="A1112" s="30" t="n">
        <v>46295.9604166667</v>
      </c>
      <c r="B1112" s="31" t="s">
        <v>81</v>
      </c>
      <c r="C1112" s="31"/>
      <c r="D1112" s="31"/>
      <c r="E1112" s="31"/>
      <c r="F1112" s="26" t="n">
        <f aca="false">INT(A1112-4/24)</f>
        <v>46295</v>
      </c>
    </row>
    <row r="1113" customFormat="false" ht="15" hidden="false" customHeight="false" outlineLevel="0" collapsed="false">
      <c r="A1113" s="30" t="n">
        <v>46295.9645833333</v>
      </c>
      <c r="B1113" s="31" t="s">
        <v>74</v>
      </c>
      <c r="C1113" s="31"/>
      <c r="D1113" s="31" t="s">
        <v>82</v>
      </c>
      <c r="E1113" s="31"/>
      <c r="F1113" s="26" t="n">
        <f aca="false">INT(A1113-4/24)</f>
        <v>46295</v>
      </c>
    </row>
    <row r="1114" customFormat="false" ht="15" hidden="false" customHeight="false" outlineLevel="0" collapsed="false">
      <c r="A1114" s="30" t="n">
        <v>46296.0166666667</v>
      </c>
      <c r="B1114" s="31" t="s">
        <v>75</v>
      </c>
      <c r="C1114" s="31"/>
      <c r="D1114" s="31"/>
      <c r="E1114" s="31"/>
      <c r="F1114" s="26" t="n">
        <f aca="false">INT(A1114-4/24)</f>
        <v>46295</v>
      </c>
    </row>
    <row r="1115" customFormat="false" ht="15" hidden="false" customHeight="false" outlineLevel="0" collapsed="false">
      <c r="A1115" s="30" t="n">
        <v>46296.0166666667</v>
      </c>
      <c r="B1115" s="31" t="s">
        <v>77</v>
      </c>
      <c r="C1115" s="31" t="n">
        <v>5</v>
      </c>
      <c r="D1115" s="31"/>
      <c r="E1115" s="31"/>
      <c r="F1115" s="26" t="n">
        <f aca="false">INT(A1115-4/24)</f>
        <v>46295</v>
      </c>
    </row>
    <row r="1116" customFormat="false" ht="15" hidden="false" customHeight="false" outlineLevel="0" collapsed="false">
      <c r="A1116" s="30" t="n">
        <v>46296.0555555556</v>
      </c>
      <c r="B1116" s="31" t="s">
        <v>80</v>
      </c>
      <c r="C1116" s="31"/>
      <c r="D1116" s="31"/>
      <c r="E1116" s="31"/>
      <c r="F1116" s="26" t="n">
        <f aca="false">INT(A1116-4/24)</f>
        <v>46295</v>
      </c>
    </row>
    <row r="1117" customFormat="false" ht="15" hidden="false" customHeight="false" outlineLevel="0" collapsed="false">
      <c r="A1117" s="30" t="n">
        <v>46296.0756944444</v>
      </c>
      <c r="B1117" s="31" t="s">
        <v>81</v>
      </c>
      <c r="C1117" s="31"/>
      <c r="D1117" s="31"/>
      <c r="E1117" s="31"/>
      <c r="F1117" s="26" t="n">
        <f aca="false">INT(A1117-4/24)</f>
        <v>46295</v>
      </c>
    </row>
    <row r="1118" customFormat="false" ht="15" hidden="false" customHeight="false" outlineLevel="0" collapsed="false">
      <c r="A1118" s="30" t="n">
        <v>46296.0756944444</v>
      </c>
      <c r="B1118" s="31" t="s">
        <v>20</v>
      </c>
      <c r="C1118" s="31"/>
      <c r="D1118" s="31"/>
      <c r="E1118" s="31"/>
      <c r="F1118" s="26" t="n">
        <f aca="false">INT(A1118-4/24)</f>
        <v>46295</v>
      </c>
    </row>
    <row r="1119" customFormat="false" ht="15" hidden="false" customHeight="false" outlineLevel="0" collapsed="false">
      <c r="A1119" s="30" t="n">
        <v>46296.3375</v>
      </c>
      <c r="B1119" s="31" t="s">
        <v>79</v>
      </c>
      <c r="C1119" s="31"/>
      <c r="D1119" s="31"/>
      <c r="E1119" s="31"/>
      <c r="F1119" s="26" t="n">
        <f aca="false">INT(A1119-4/24)</f>
        <v>46296</v>
      </c>
    </row>
    <row r="1120" customFormat="false" ht="15" hidden="false" customHeight="false" outlineLevel="0" collapsed="false">
      <c r="A1120" s="30" t="n">
        <v>46296.3680555556</v>
      </c>
      <c r="B1120" s="31" t="s">
        <v>74</v>
      </c>
      <c r="C1120" s="31"/>
      <c r="D1120" s="31" t="s">
        <v>82</v>
      </c>
      <c r="E1120" s="31"/>
      <c r="F1120" s="26" t="n">
        <f aca="false">INT(A1120-4/24)</f>
        <v>46296</v>
      </c>
    </row>
    <row r="1121" customFormat="false" ht="15" hidden="false" customHeight="false" outlineLevel="0" collapsed="false">
      <c r="A1121" s="30" t="n">
        <v>46296.375</v>
      </c>
      <c r="B1121" s="31" t="s">
        <v>75</v>
      </c>
      <c r="C1121" s="31"/>
      <c r="D1121" s="31"/>
      <c r="E1121" s="31"/>
      <c r="F1121" s="26" t="n">
        <f aca="false">INT(A1121-4/24)</f>
        <v>46296</v>
      </c>
    </row>
    <row r="1122" customFormat="false" ht="15" hidden="false" customHeight="false" outlineLevel="0" collapsed="false">
      <c r="A1122" s="30" t="n">
        <v>46296.3791666667</v>
      </c>
      <c r="B1122" s="31" t="s">
        <v>77</v>
      </c>
      <c r="C1122" s="31" t="n">
        <v>3</v>
      </c>
      <c r="D1122" s="31"/>
      <c r="E1122" s="31"/>
      <c r="F1122" s="26" t="n">
        <f aca="false">INT(A1122-4/24)</f>
        <v>46296</v>
      </c>
    </row>
    <row r="1123" customFormat="false" ht="15" hidden="false" customHeight="false" outlineLevel="0" collapsed="false">
      <c r="A1123" s="30" t="n">
        <v>46296.4479166667</v>
      </c>
      <c r="B1123" s="31" t="s">
        <v>80</v>
      </c>
      <c r="C1123" s="31"/>
      <c r="D1123" s="31"/>
      <c r="E1123" s="31"/>
      <c r="F1123" s="26" t="n">
        <f aca="false">INT(A1123-4/24)</f>
        <v>46296</v>
      </c>
    </row>
    <row r="1124" customFormat="false" ht="15" hidden="false" customHeight="false" outlineLevel="0" collapsed="false">
      <c r="A1124" s="30" t="n">
        <v>46296.4645833333</v>
      </c>
      <c r="B1124" s="31" t="s">
        <v>81</v>
      </c>
      <c r="C1124" s="31"/>
      <c r="D1124" s="31"/>
      <c r="E1124" s="31"/>
      <c r="F1124" s="26" t="n">
        <f aca="false">INT(A1124-4/24)</f>
        <v>46296</v>
      </c>
    </row>
    <row r="1125" customFormat="false" ht="15" hidden="false" customHeight="false" outlineLevel="0" collapsed="false">
      <c r="A1125" s="30" t="n">
        <v>46296.5208333333</v>
      </c>
      <c r="B1125" s="31" t="s">
        <v>77</v>
      </c>
      <c r="C1125" s="31" t="n">
        <v>4</v>
      </c>
      <c r="D1125" s="31"/>
      <c r="E1125" s="31"/>
      <c r="F1125" s="26" t="n">
        <f aca="false">INT(A1125-4/24)</f>
        <v>46296</v>
      </c>
    </row>
    <row r="1126" customFormat="false" ht="15" hidden="false" customHeight="false" outlineLevel="0" collapsed="false">
      <c r="A1126" s="30" t="n">
        <v>46296.6388888889</v>
      </c>
      <c r="B1126" s="31" t="s">
        <v>74</v>
      </c>
      <c r="C1126" s="31"/>
      <c r="D1126" s="31" t="s">
        <v>84</v>
      </c>
      <c r="E1126" s="31"/>
      <c r="F1126" s="26" t="n">
        <f aca="false">INT(A1126-4/24)</f>
        <v>46296</v>
      </c>
    </row>
    <row r="1127" customFormat="false" ht="15" hidden="false" customHeight="false" outlineLevel="0" collapsed="false">
      <c r="A1127" s="30" t="n">
        <v>46296.6458333333</v>
      </c>
      <c r="B1127" s="31" t="s">
        <v>77</v>
      </c>
      <c r="C1127" s="31" t="n">
        <v>4</v>
      </c>
      <c r="D1127" s="31"/>
      <c r="E1127" s="31"/>
      <c r="F1127" s="26" t="n">
        <f aca="false">INT(A1127-4/24)</f>
        <v>46296</v>
      </c>
    </row>
    <row r="1128" customFormat="false" ht="15" hidden="false" customHeight="false" outlineLevel="0" collapsed="false">
      <c r="A1128" s="30" t="n">
        <v>46296.65625</v>
      </c>
      <c r="B1128" s="31" t="s">
        <v>80</v>
      </c>
      <c r="C1128" s="31"/>
      <c r="D1128" s="31"/>
      <c r="E1128" s="31"/>
      <c r="F1128" s="26" t="n">
        <f aca="false">INT(A1128-4/24)</f>
        <v>46296</v>
      </c>
    </row>
    <row r="1129" customFormat="false" ht="15" hidden="false" customHeight="false" outlineLevel="0" collapsed="false">
      <c r="A1129" s="30" t="n">
        <v>46296.6770833333</v>
      </c>
      <c r="B1129" s="31" t="s">
        <v>81</v>
      </c>
      <c r="C1129" s="31"/>
      <c r="D1129" s="31"/>
      <c r="E1129" s="31"/>
      <c r="F1129" s="26" t="n">
        <f aca="false">INT(A1129-4/24)</f>
        <v>46296</v>
      </c>
    </row>
    <row r="1130" customFormat="false" ht="15" hidden="false" customHeight="false" outlineLevel="0" collapsed="false">
      <c r="A1130" s="30" t="n">
        <v>46296.7451388889</v>
      </c>
      <c r="B1130" s="31" t="s">
        <v>75</v>
      </c>
      <c r="C1130" s="31"/>
      <c r="D1130" s="31"/>
      <c r="E1130" s="31"/>
      <c r="F1130" s="26" t="n">
        <f aca="false">INT(A1130-4/24)</f>
        <v>46296</v>
      </c>
    </row>
    <row r="1131" customFormat="false" ht="15" hidden="false" customHeight="false" outlineLevel="0" collapsed="false">
      <c r="A1131" s="30" t="n">
        <v>46296.7451388889</v>
      </c>
      <c r="B1131" s="31" t="s">
        <v>77</v>
      </c>
      <c r="C1131" s="31" t="n">
        <v>5</v>
      </c>
      <c r="D1131" s="31"/>
      <c r="E1131" s="31"/>
      <c r="F1131" s="26" t="n">
        <f aca="false">INT(A1131-4/24)</f>
        <v>46296</v>
      </c>
    </row>
    <row r="1132" customFormat="false" ht="15" hidden="false" customHeight="false" outlineLevel="0" collapsed="false">
      <c r="A1132" s="30" t="n">
        <v>46296.7847222222</v>
      </c>
      <c r="B1132" s="31" t="s">
        <v>80</v>
      </c>
      <c r="C1132" s="31"/>
      <c r="D1132" s="31"/>
      <c r="E1132" s="31"/>
      <c r="F1132" s="26" t="n">
        <f aca="false">INT(A1132-4/24)</f>
        <v>46296</v>
      </c>
    </row>
    <row r="1133" customFormat="false" ht="15" hidden="false" customHeight="false" outlineLevel="0" collapsed="false">
      <c r="A1133" s="30" t="n">
        <v>46296.8020833333</v>
      </c>
      <c r="B1133" s="31" t="s">
        <v>81</v>
      </c>
      <c r="C1133" s="31"/>
      <c r="D1133" s="31"/>
      <c r="E1133" s="31"/>
      <c r="F1133" s="26" t="n">
        <f aca="false">INT(A1133-4/24)</f>
        <v>46296</v>
      </c>
    </row>
    <row r="1134" customFormat="false" ht="15" hidden="false" customHeight="false" outlineLevel="0" collapsed="false">
      <c r="A1134" s="30" t="n">
        <v>46296.8229166667</v>
      </c>
      <c r="B1134" s="31" t="s">
        <v>74</v>
      </c>
      <c r="C1134" s="31"/>
      <c r="D1134" s="31" t="s">
        <v>82</v>
      </c>
      <c r="E1134" s="31"/>
      <c r="F1134" s="26" t="n">
        <f aca="false">INT(A1134-4/24)</f>
        <v>46296</v>
      </c>
    </row>
    <row r="1135" customFormat="false" ht="15" hidden="false" customHeight="false" outlineLevel="0" collapsed="false">
      <c r="A1135" s="30" t="n">
        <v>46296.8770833333</v>
      </c>
      <c r="B1135" s="31" t="s">
        <v>77</v>
      </c>
      <c r="C1135" s="31" t="n">
        <v>5</v>
      </c>
      <c r="D1135" s="31"/>
      <c r="E1135" s="31"/>
      <c r="F1135" s="26" t="n">
        <f aca="false">INT(A1135-4/24)</f>
        <v>46296</v>
      </c>
    </row>
    <row r="1136" customFormat="false" ht="15" hidden="false" customHeight="false" outlineLevel="0" collapsed="false">
      <c r="A1136" s="30" t="n">
        <v>46296.9604166667</v>
      </c>
      <c r="B1136" s="31" t="s">
        <v>74</v>
      </c>
      <c r="C1136" s="31"/>
      <c r="D1136" s="31" t="s">
        <v>82</v>
      </c>
      <c r="E1136" s="31"/>
      <c r="F1136" s="26" t="n">
        <f aca="false">INT(A1136-4/24)</f>
        <v>46296</v>
      </c>
    </row>
    <row r="1137" customFormat="false" ht="15" hidden="false" customHeight="false" outlineLevel="0" collapsed="false">
      <c r="A1137" s="30" t="n">
        <v>46296.98125</v>
      </c>
      <c r="B1137" s="31" t="s">
        <v>77</v>
      </c>
      <c r="C1137" s="31" t="n">
        <v>5</v>
      </c>
      <c r="D1137" s="31"/>
      <c r="E1137" s="31"/>
      <c r="F1137" s="26" t="n">
        <f aca="false">INT(A1137-4/24)</f>
        <v>46296</v>
      </c>
    </row>
    <row r="1138" customFormat="false" ht="15" hidden="false" customHeight="false" outlineLevel="0" collapsed="false">
      <c r="A1138" s="30" t="n">
        <v>46297.0006944445</v>
      </c>
      <c r="B1138" s="31" t="s">
        <v>80</v>
      </c>
      <c r="C1138" s="31"/>
      <c r="D1138" s="31"/>
      <c r="E1138" s="31"/>
      <c r="F1138" s="26" t="n">
        <f aca="false">INT(A1138-4/24)</f>
        <v>46296</v>
      </c>
    </row>
    <row r="1139" customFormat="false" ht="15" hidden="false" customHeight="false" outlineLevel="0" collapsed="false">
      <c r="A1139" s="30" t="n">
        <v>46297.0284722222</v>
      </c>
      <c r="B1139" s="31" t="s">
        <v>75</v>
      </c>
      <c r="C1139" s="31"/>
      <c r="D1139" s="31"/>
      <c r="E1139" s="31"/>
      <c r="F1139" s="26" t="n">
        <f aca="false">INT(A1139-4/24)</f>
        <v>46296</v>
      </c>
    </row>
    <row r="1140" customFormat="false" ht="15" hidden="false" customHeight="false" outlineLevel="0" collapsed="false">
      <c r="A1140" s="30" t="n">
        <v>46297.03125</v>
      </c>
      <c r="B1140" s="31" t="s">
        <v>81</v>
      </c>
      <c r="C1140" s="31"/>
      <c r="D1140" s="31"/>
      <c r="E1140" s="31"/>
      <c r="F1140" s="26" t="n">
        <f aca="false">INT(A1140-4/24)</f>
        <v>46296</v>
      </c>
    </row>
    <row r="1141" customFormat="false" ht="15" hidden="false" customHeight="false" outlineLevel="0" collapsed="false">
      <c r="A1141" s="30" t="n">
        <v>46297.03125</v>
      </c>
      <c r="B1141" s="31" t="s">
        <v>20</v>
      </c>
      <c r="C1141" s="31"/>
      <c r="D1141" s="31"/>
      <c r="E1141" s="31"/>
      <c r="F1141" s="26" t="n">
        <f aca="false">INT(A1141-4/24)</f>
        <v>46296</v>
      </c>
    </row>
    <row r="1142" customFormat="false" ht="15" hidden="false" customHeight="false" outlineLevel="0" collapsed="false">
      <c r="A1142" s="30" t="n">
        <v>46297.3090277778</v>
      </c>
      <c r="B1142" s="31" t="s">
        <v>79</v>
      </c>
      <c r="C1142" s="31"/>
      <c r="D1142" s="31"/>
      <c r="E1142" s="31"/>
      <c r="F1142" s="26" t="n">
        <f aca="false">INT(A1142-4/24)</f>
        <v>46297</v>
      </c>
    </row>
    <row r="1143" customFormat="false" ht="15" hidden="false" customHeight="false" outlineLevel="0" collapsed="false">
      <c r="A1143" s="30" t="n">
        <v>46297.3194444445</v>
      </c>
      <c r="B1143" s="31" t="s">
        <v>74</v>
      </c>
      <c r="C1143" s="31"/>
      <c r="D1143" s="31" t="s">
        <v>82</v>
      </c>
      <c r="E1143" s="31"/>
      <c r="F1143" s="26" t="n">
        <f aca="false">INT(A1143-4/24)</f>
        <v>46297</v>
      </c>
    </row>
    <row r="1144" customFormat="false" ht="15" hidden="false" customHeight="false" outlineLevel="0" collapsed="false">
      <c r="A1144" s="30" t="n">
        <v>46297.3229166667</v>
      </c>
      <c r="B1144" s="31" t="s">
        <v>77</v>
      </c>
      <c r="C1144" s="31" t="n">
        <v>5</v>
      </c>
      <c r="D1144" s="31"/>
      <c r="E1144" s="31"/>
      <c r="F1144" s="26" t="n">
        <f aca="false">INT(A1144-4/24)</f>
        <v>46297</v>
      </c>
    </row>
    <row r="1145" customFormat="false" ht="15" hidden="false" customHeight="false" outlineLevel="0" collapsed="false">
      <c r="A1145" s="30" t="n">
        <v>46297.3729166667</v>
      </c>
      <c r="B1145" s="31" t="s">
        <v>74</v>
      </c>
      <c r="C1145" s="31"/>
      <c r="D1145" s="31" t="s">
        <v>82</v>
      </c>
      <c r="E1145" s="31"/>
      <c r="F1145" s="26" t="n">
        <f aca="false">INT(A1145-4/24)</f>
        <v>46297</v>
      </c>
    </row>
    <row r="1146" customFormat="false" ht="15" hidden="false" customHeight="false" outlineLevel="0" collapsed="false">
      <c r="A1146" s="30" t="n">
        <v>46297.4465277778</v>
      </c>
      <c r="B1146" s="31" t="s">
        <v>74</v>
      </c>
      <c r="C1146" s="31"/>
      <c r="D1146" s="31" t="s">
        <v>82</v>
      </c>
      <c r="E1146" s="31"/>
      <c r="F1146" s="26" t="n">
        <f aca="false">INT(A1146-4/24)</f>
        <v>46297</v>
      </c>
    </row>
    <row r="1147" customFormat="false" ht="15" hidden="false" customHeight="false" outlineLevel="0" collapsed="false">
      <c r="A1147" s="30" t="n">
        <v>46297.5041666667</v>
      </c>
      <c r="B1147" s="31" t="s">
        <v>77</v>
      </c>
      <c r="C1147" s="31" t="n">
        <v>6</v>
      </c>
      <c r="D1147" s="31"/>
      <c r="E1147" s="31"/>
      <c r="F1147" s="26" t="n">
        <f aca="false">INT(A1147-4/24)</f>
        <v>46297</v>
      </c>
    </row>
    <row r="1148" customFormat="false" ht="15" hidden="false" customHeight="false" outlineLevel="0" collapsed="false">
      <c r="A1148" s="30" t="n">
        <v>46297.5347222222</v>
      </c>
      <c r="B1148" s="31" t="s">
        <v>74</v>
      </c>
      <c r="C1148" s="31"/>
      <c r="D1148" s="31" t="s">
        <v>84</v>
      </c>
      <c r="E1148" s="31"/>
      <c r="F1148" s="26" t="n">
        <f aca="false">INT(A1148-4/24)</f>
        <v>46297</v>
      </c>
    </row>
    <row r="1149" customFormat="false" ht="15" hidden="false" customHeight="false" outlineLevel="0" collapsed="false">
      <c r="A1149" s="30" t="n">
        <v>46297.5763888889</v>
      </c>
      <c r="B1149" s="31" t="s">
        <v>80</v>
      </c>
      <c r="C1149" s="31"/>
      <c r="D1149" s="31"/>
      <c r="E1149" s="31"/>
      <c r="F1149" s="26" t="n">
        <f aca="false">INT(A1149-4/24)</f>
        <v>46297</v>
      </c>
    </row>
    <row r="1150" customFormat="false" ht="15" hidden="false" customHeight="false" outlineLevel="0" collapsed="false">
      <c r="A1150" s="30" t="n">
        <v>46297.6020833333</v>
      </c>
      <c r="B1150" s="31" t="s">
        <v>81</v>
      </c>
      <c r="C1150" s="31"/>
      <c r="D1150" s="31"/>
      <c r="E1150" s="31"/>
      <c r="F1150" s="26" t="n">
        <f aca="false">INT(A1150-4/24)</f>
        <v>46297</v>
      </c>
    </row>
    <row r="1151" customFormat="false" ht="15" hidden="false" customHeight="false" outlineLevel="0" collapsed="false">
      <c r="A1151" s="30" t="n">
        <v>46297.6194444444</v>
      </c>
      <c r="B1151" s="31" t="s">
        <v>77</v>
      </c>
      <c r="C1151" s="31" t="n">
        <v>5</v>
      </c>
      <c r="D1151" s="31"/>
      <c r="E1151" s="31"/>
      <c r="F1151" s="26" t="n">
        <f aca="false">INT(A1151-4/24)</f>
        <v>46297</v>
      </c>
    </row>
    <row r="1152" customFormat="false" ht="15" hidden="false" customHeight="false" outlineLevel="0" collapsed="false">
      <c r="A1152" s="30" t="n">
        <v>46297.6777777778</v>
      </c>
      <c r="B1152" s="31" t="s">
        <v>75</v>
      </c>
      <c r="C1152" s="31"/>
      <c r="D1152" s="31"/>
      <c r="E1152" s="31"/>
      <c r="F1152" s="26" t="n">
        <f aca="false">INT(A1152-4/24)</f>
        <v>46297</v>
      </c>
    </row>
    <row r="1153" customFormat="false" ht="15" hidden="false" customHeight="false" outlineLevel="0" collapsed="false">
      <c r="A1153" s="30" t="n">
        <v>46297.6826388889</v>
      </c>
      <c r="B1153" s="31" t="s">
        <v>74</v>
      </c>
      <c r="C1153" s="31"/>
      <c r="D1153" s="31" t="s">
        <v>82</v>
      </c>
      <c r="E1153" s="31"/>
      <c r="F1153" s="26" t="n">
        <f aca="false">INT(A1153-4/24)</f>
        <v>46297</v>
      </c>
    </row>
    <row r="1154" customFormat="false" ht="15" hidden="false" customHeight="false" outlineLevel="0" collapsed="false">
      <c r="A1154" s="30" t="n">
        <v>46297.7381944444</v>
      </c>
      <c r="B1154" s="31" t="s">
        <v>77</v>
      </c>
      <c r="C1154" s="31" t="n">
        <v>5</v>
      </c>
      <c r="D1154" s="31"/>
      <c r="E1154" s="31"/>
      <c r="F1154" s="26" t="n">
        <f aca="false">INT(A1154-4/24)</f>
        <v>46297</v>
      </c>
    </row>
    <row r="1155" customFormat="false" ht="15" hidden="false" customHeight="false" outlineLevel="0" collapsed="false">
      <c r="A1155" s="30" t="n">
        <v>46297.7847222222</v>
      </c>
      <c r="B1155" s="31" t="s">
        <v>80</v>
      </c>
      <c r="C1155" s="31"/>
      <c r="D1155" s="31"/>
      <c r="E1155" s="31"/>
      <c r="F1155" s="26" t="n">
        <f aca="false">INT(A1155-4/24)</f>
        <v>46297</v>
      </c>
    </row>
    <row r="1156" customFormat="false" ht="15" hidden="false" customHeight="false" outlineLevel="0" collapsed="false">
      <c r="A1156" s="30" t="n">
        <v>46297.8194444445</v>
      </c>
      <c r="B1156" s="31" t="s">
        <v>81</v>
      </c>
      <c r="C1156" s="31"/>
      <c r="D1156" s="31"/>
      <c r="E1156" s="31"/>
      <c r="F1156" s="26" t="n">
        <f aca="false">INT(A1156-4/24)</f>
        <v>46297</v>
      </c>
    </row>
    <row r="1157" customFormat="false" ht="15" hidden="false" customHeight="false" outlineLevel="0" collapsed="false">
      <c r="A1157" s="30" t="n">
        <v>46297.8284722222</v>
      </c>
      <c r="B1157" s="31" t="s">
        <v>74</v>
      </c>
      <c r="C1157" s="31"/>
      <c r="D1157" s="31" t="s">
        <v>82</v>
      </c>
      <c r="E1157" s="31"/>
      <c r="F1157" s="26" t="n">
        <f aca="false">INT(A1157-4/24)</f>
        <v>46297</v>
      </c>
    </row>
    <row r="1158" customFormat="false" ht="15" hidden="false" customHeight="false" outlineLevel="0" collapsed="false">
      <c r="A1158" s="30" t="n">
        <v>46297.8541666667</v>
      </c>
      <c r="B1158" s="31" t="s">
        <v>77</v>
      </c>
      <c r="C1158" s="31" t="n">
        <v>5</v>
      </c>
      <c r="D1158" s="31"/>
      <c r="E1158" s="31"/>
      <c r="F1158" s="26" t="n">
        <f aca="false">INT(A1158-4/24)</f>
        <v>46297</v>
      </c>
    </row>
    <row r="1159" customFormat="false" ht="15" hidden="false" customHeight="false" outlineLevel="0" collapsed="false">
      <c r="A1159" s="30" t="n">
        <v>46297.9583333333</v>
      </c>
      <c r="B1159" s="31" t="s">
        <v>74</v>
      </c>
      <c r="C1159" s="31"/>
      <c r="D1159" s="31" t="s">
        <v>82</v>
      </c>
      <c r="E1159" s="31"/>
      <c r="F1159" s="26" t="n">
        <f aca="false">INT(A1159-4/24)</f>
        <v>46297</v>
      </c>
    </row>
    <row r="1160" customFormat="false" ht="15" hidden="false" customHeight="false" outlineLevel="0" collapsed="false">
      <c r="A1160" s="30" t="n">
        <v>46297.9840277778</v>
      </c>
      <c r="B1160" s="31" t="s">
        <v>77</v>
      </c>
      <c r="C1160" s="31" t="n">
        <v>5</v>
      </c>
      <c r="D1160" s="31"/>
      <c r="E1160" s="31"/>
      <c r="F1160" s="26" t="n">
        <f aca="false">INT(A1160-4/24)</f>
        <v>46297</v>
      </c>
    </row>
    <row r="1161" customFormat="false" ht="15" hidden="false" customHeight="false" outlineLevel="0" collapsed="false">
      <c r="A1161" s="30" t="n">
        <v>46297.9930555556</v>
      </c>
      <c r="B1161" s="31" t="s">
        <v>80</v>
      </c>
      <c r="C1161" s="31"/>
      <c r="D1161" s="31"/>
      <c r="E1161" s="31"/>
      <c r="F1161" s="26" t="n">
        <f aca="false">INT(A1161-4/24)</f>
        <v>46297</v>
      </c>
    </row>
    <row r="1162" customFormat="false" ht="15" hidden="false" customHeight="false" outlineLevel="0" collapsed="false">
      <c r="A1162" s="30" t="n">
        <v>46298.0166666667</v>
      </c>
      <c r="B1162" s="31" t="s">
        <v>75</v>
      </c>
      <c r="C1162" s="31"/>
      <c r="D1162" s="31"/>
      <c r="E1162" s="31"/>
      <c r="F1162" s="26" t="n">
        <f aca="false">INT(A1162-4/24)</f>
        <v>46297</v>
      </c>
    </row>
    <row r="1163" customFormat="false" ht="15" hidden="false" customHeight="false" outlineLevel="0" collapsed="false">
      <c r="A1163" s="30" t="n">
        <v>46298.0222222222</v>
      </c>
      <c r="B1163" s="31" t="s">
        <v>81</v>
      </c>
      <c r="C1163" s="31"/>
      <c r="D1163" s="31"/>
      <c r="E1163" s="31"/>
      <c r="F1163" s="26" t="n">
        <f aca="false">INT(A1163-4/24)</f>
        <v>46297</v>
      </c>
    </row>
    <row r="1164" customFormat="false" ht="15" hidden="false" customHeight="false" outlineLevel="0" collapsed="false">
      <c r="A1164" s="30" t="n">
        <v>46298.0236111111</v>
      </c>
      <c r="B1164" s="31" t="s">
        <v>20</v>
      </c>
      <c r="C1164" s="31"/>
      <c r="D1164" s="31"/>
      <c r="E1164" s="31"/>
      <c r="F1164" s="26" t="n">
        <f aca="false">INT(A1164-4/24)</f>
        <v>46297</v>
      </c>
    </row>
    <row r="1165" customFormat="false" ht="15" hidden="false" customHeight="false" outlineLevel="0" collapsed="false">
      <c r="A1165" s="30" t="n">
        <v>46298.375</v>
      </c>
      <c r="B1165" s="31" t="s">
        <v>79</v>
      </c>
      <c r="C1165" s="31"/>
      <c r="D1165" s="31"/>
      <c r="E1165" s="31"/>
      <c r="F1165" s="26" t="n">
        <f aca="false">INT(A1165-4/24)</f>
        <v>46298</v>
      </c>
    </row>
    <row r="1166" customFormat="false" ht="15" hidden="false" customHeight="false" outlineLevel="0" collapsed="false">
      <c r="A1166" s="30" t="n">
        <v>46298.3888888889</v>
      </c>
      <c r="B1166" s="31" t="s">
        <v>74</v>
      </c>
      <c r="C1166" s="31"/>
      <c r="D1166" s="31" t="s">
        <v>82</v>
      </c>
      <c r="E1166" s="31"/>
      <c r="F1166" s="26" t="n">
        <f aca="false">INT(A1166-4/24)</f>
        <v>46298</v>
      </c>
    </row>
    <row r="1167" customFormat="false" ht="15" hidden="false" customHeight="false" outlineLevel="0" collapsed="false">
      <c r="A1167" s="30" t="n">
        <v>46298.3944444444</v>
      </c>
      <c r="B1167" s="31" t="s">
        <v>75</v>
      </c>
      <c r="C1167" s="31"/>
      <c r="D1167" s="31"/>
      <c r="E1167" s="31"/>
      <c r="F1167" s="26" t="n">
        <f aca="false">INT(A1167-4/24)</f>
        <v>46298</v>
      </c>
    </row>
    <row r="1168" customFormat="false" ht="15" hidden="false" customHeight="false" outlineLevel="0" collapsed="false">
      <c r="A1168" s="30" t="n">
        <v>46298.3944444444</v>
      </c>
      <c r="B1168" s="31" t="s">
        <v>77</v>
      </c>
      <c r="C1168" s="31" t="n">
        <v>5</v>
      </c>
      <c r="D1168" s="31"/>
      <c r="E1168" s="31"/>
      <c r="F1168" s="26" t="n">
        <f aca="false">INT(A1168-4/24)</f>
        <v>46298</v>
      </c>
    </row>
    <row r="1169" customFormat="false" ht="15" hidden="false" customHeight="false" outlineLevel="0" collapsed="false">
      <c r="A1169" s="30" t="n">
        <v>46298.4548611111</v>
      </c>
      <c r="B1169" s="31" t="s">
        <v>74</v>
      </c>
      <c r="C1169" s="31"/>
      <c r="D1169" s="31" t="s">
        <v>84</v>
      </c>
      <c r="E1169" s="31"/>
      <c r="F1169" s="26" t="n">
        <f aca="false">INT(A1169-4/24)</f>
        <v>46298</v>
      </c>
    </row>
    <row r="1170" customFormat="false" ht="15" hidden="false" customHeight="false" outlineLevel="0" collapsed="false">
      <c r="A1170" s="30" t="n">
        <v>46298.4645833333</v>
      </c>
      <c r="B1170" s="31" t="s">
        <v>80</v>
      </c>
      <c r="C1170" s="31"/>
      <c r="D1170" s="31"/>
      <c r="E1170" s="31"/>
      <c r="F1170" s="26" t="n">
        <f aca="false">INT(A1170-4/24)</f>
        <v>46298</v>
      </c>
    </row>
    <row r="1171" customFormat="false" ht="15" hidden="false" customHeight="false" outlineLevel="0" collapsed="false">
      <c r="A1171" s="30" t="n">
        <v>46298.4861111111</v>
      </c>
      <c r="B1171" s="31" t="s">
        <v>81</v>
      </c>
      <c r="C1171" s="31"/>
      <c r="D1171" s="31"/>
      <c r="E1171" s="31"/>
      <c r="F1171" s="26" t="n">
        <f aca="false">INT(A1171-4/24)</f>
        <v>46298</v>
      </c>
    </row>
    <row r="1172" customFormat="false" ht="15" hidden="false" customHeight="false" outlineLevel="0" collapsed="false">
      <c r="A1172" s="30" t="n">
        <v>46298.5152777778</v>
      </c>
      <c r="B1172" s="31" t="s">
        <v>77</v>
      </c>
      <c r="C1172" s="31" t="n">
        <v>5</v>
      </c>
      <c r="D1172" s="31"/>
      <c r="E1172" s="31"/>
      <c r="F1172" s="26" t="n">
        <f aca="false">INT(A1172-4/24)</f>
        <v>46298</v>
      </c>
    </row>
    <row r="1173" customFormat="false" ht="15" hidden="false" customHeight="false" outlineLevel="0" collapsed="false">
      <c r="A1173" s="30" t="n">
        <v>46298.6</v>
      </c>
      <c r="B1173" s="31" t="s">
        <v>80</v>
      </c>
      <c r="C1173" s="31"/>
      <c r="D1173" s="31"/>
      <c r="E1173" s="31"/>
      <c r="F1173" s="26" t="n">
        <f aca="false">INT(A1173-4/24)</f>
        <v>46298</v>
      </c>
    </row>
    <row r="1174" customFormat="false" ht="15" hidden="false" customHeight="false" outlineLevel="0" collapsed="false">
      <c r="A1174" s="30" t="n">
        <v>46298.6222222222</v>
      </c>
      <c r="B1174" s="31" t="s">
        <v>81</v>
      </c>
      <c r="C1174" s="31"/>
      <c r="D1174" s="31"/>
      <c r="E1174" s="31"/>
      <c r="F1174" s="26" t="n">
        <f aca="false">INT(A1174-4/24)</f>
        <v>46298</v>
      </c>
    </row>
    <row r="1175" customFormat="false" ht="15" hidden="false" customHeight="false" outlineLevel="0" collapsed="false">
      <c r="A1175" s="30" t="n">
        <v>46298.6305555556</v>
      </c>
      <c r="B1175" s="31" t="s">
        <v>77</v>
      </c>
      <c r="C1175" s="31" t="n">
        <v>5</v>
      </c>
      <c r="D1175" s="31"/>
      <c r="E1175" s="31"/>
      <c r="F1175" s="26" t="n">
        <f aca="false">INT(A1175-4/24)</f>
        <v>46298</v>
      </c>
    </row>
    <row r="1176" customFormat="false" ht="15" hidden="false" customHeight="false" outlineLevel="0" collapsed="false">
      <c r="A1176" s="30" t="n">
        <v>46298.6458333333</v>
      </c>
      <c r="B1176" s="31" t="s">
        <v>74</v>
      </c>
      <c r="C1176" s="31"/>
      <c r="D1176" s="31" t="s">
        <v>82</v>
      </c>
      <c r="E1176" s="31"/>
      <c r="F1176" s="26" t="n">
        <f aca="false">INT(A1176-4/24)</f>
        <v>46298</v>
      </c>
    </row>
    <row r="1177" customFormat="false" ht="15" hidden="false" customHeight="false" outlineLevel="0" collapsed="false">
      <c r="A1177" s="30" t="n">
        <v>46298.6770833333</v>
      </c>
      <c r="B1177" s="31" t="s">
        <v>75</v>
      </c>
      <c r="C1177" s="31"/>
      <c r="D1177" s="31"/>
      <c r="E1177" s="31"/>
      <c r="F1177" s="26" t="n">
        <f aca="false">INT(A1177-4/24)</f>
        <v>46298</v>
      </c>
    </row>
    <row r="1178" customFormat="false" ht="15" hidden="false" customHeight="false" outlineLevel="0" collapsed="false">
      <c r="A1178" s="30" t="n">
        <v>46298.7513888889</v>
      </c>
      <c r="B1178" s="31" t="s">
        <v>74</v>
      </c>
      <c r="C1178" s="31"/>
      <c r="D1178" s="31" t="s">
        <v>82</v>
      </c>
      <c r="E1178" s="31"/>
      <c r="F1178" s="26" t="n">
        <f aca="false">INT(A1178-4/24)</f>
        <v>46298</v>
      </c>
    </row>
    <row r="1179" customFormat="false" ht="15" hidden="false" customHeight="false" outlineLevel="0" collapsed="false">
      <c r="A1179" s="30" t="n">
        <v>46298.7680555556</v>
      </c>
      <c r="B1179" s="31" t="s">
        <v>77</v>
      </c>
      <c r="C1179" s="31" t="n">
        <v>5</v>
      </c>
      <c r="D1179" s="31"/>
      <c r="E1179" s="31"/>
      <c r="F1179" s="26" t="n">
        <f aca="false">INT(A1179-4/24)</f>
        <v>46298</v>
      </c>
    </row>
    <row r="1180" customFormat="false" ht="15" hidden="false" customHeight="false" outlineLevel="0" collapsed="false">
      <c r="A1180" s="30" t="n">
        <v>46298.8229166667</v>
      </c>
      <c r="B1180" s="31" t="s">
        <v>74</v>
      </c>
      <c r="C1180" s="31"/>
      <c r="D1180" s="31" t="s">
        <v>84</v>
      </c>
      <c r="E1180" s="31"/>
      <c r="F1180" s="26" t="n">
        <f aca="false">INT(A1180-4/24)</f>
        <v>46298</v>
      </c>
    </row>
    <row r="1181" customFormat="false" ht="15" hidden="false" customHeight="false" outlineLevel="0" collapsed="false">
      <c r="A1181" s="30" t="n">
        <v>46298.8333333333</v>
      </c>
      <c r="B1181" s="31" t="s">
        <v>80</v>
      </c>
      <c r="C1181" s="31"/>
      <c r="D1181" s="31"/>
      <c r="E1181" s="31"/>
      <c r="F1181" s="26" t="n">
        <f aca="false">INT(A1181-4/24)</f>
        <v>46298</v>
      </c>
    </row>
    <row r="1182" customFormat="false" ht="15" hidden="false" customHeight="false" outlineLevel="0" collapsed="false">
      <c r="A1182" s="30" t="n">
        <v>46298.8541666667</v>
      </c>
      <c r="B1182" s="31" t="s">
        <v>81</v>
      </c>
      <c r="C1182" s="31"/>
      <c r="D1182" s="31"/>
      <c r="E1182" s="31"/>
      <c r="F1182" s="26" t="n">
        <f aca="false">INT(A1182-4/24)</f>
        <v>46298</v>
      </c>
    </row>
    <row r="1183" customFormat="false" ht="15" hidden="false" customHeight="false" outlineLevel="0" collapsed="false">
      <c r="A1183" s="30" t="n">
        <v>46298.8770833333</v>
      </c>
      <c r="B1183" s="31" t="s">
        <v>77</v>
      </c>
      <c r="C1183" s="31" t="n">
        <v>6</v>
      </c>
      <c r="D1183" s="31"/>
      <c r="E1183" s="31"/>
      <c r="F1183" s="26" t="n">
        <f aca="false">INT(A1183-4/24)</f>
        <v>46298</v>
      </c>
    </row>
    <row r="1184" customFormat="false" ht="15" hidden="false" customHeight="false" outlineLevel="0" collapsed="false">
      <c r="A1184" s="30" t="n">
        <v>46298.9847222222</v>
      </c>
      <c r="B1184" s="31" t="s">
        <v>74</v>
      </c>
      <c r="C1184" s="31"/>
      <c r="D1184" s="31" t="s">
        <v>82</v>
      </c>
      <c r="E1184" s="31"/>
      <c r="F1184" s="26" t="n">
        <f aca="false">INT(A1184-4/24)</f>
        <v>46298</v>
      </c>
    </row>
    <row r="1185" customFormat="false" ht="15" hidden="false" customHeight="false" outlineLevel="0" collapsed="false">
      <c r="A1185" s="30" t="n">
        <v>46299.0069444445</v>
      </c>
      <c r="B1185" s="31" t="s">
        <v>75</v>
      </c>
      <c r="C1185" s="31"/>
      <c r="D1185" s="31"/>
      <c r="E1185" s="31"/>
      <c r="F1185" s="26" t="n">
        <f aca="false">INT(A1185-4/24)</f>
        <v>46298</v>
      </c>
    </row>
    <row r="1186" customFormat="false" ht="15" hidden="false" customHeight="false" outlineLevel="0" collapsed="false">
      <c r="A1186" s="30" t="n">
        <v>46299.0097222222</v>
      </c>
      <c r="B1186" s="31" t="s">
        <v>77</v>
      </c>
      <c r="C1186" s="31" t="n">
        <v>5</v>
      </c>
      <c r="D1186" s="31"/>
      <c r="E1186" s="31"/>
      <c r="F1186" s="26" t="n">
        <f aca="false">INT(A1186-4/24)</f>
        <v>46298</v>
      </c>
    </row>
    <row r="1187" customFormat="false" ht="15" hidden="false" customHeight="false" outlineLevel="0" collapsed="false">
      <c r="A1187" s="30" t="n">
        <v>46299.0569444444</v>
      </c>
      <c r="B1187" s="31" t="s">
        <v>20</v>
      </c>
      <c r="C1187" s="31"/>
      <c r="D1187" s="31"/>
      <c r="E1187" s="31"/>
      <c r="F1187" s="26" t="n">
        <f aca="false">INT(A1187-4/24)</f>
        <v>46298</v>
      </c>
    </row>
    <row r="1188" customFormat="false" ht="15" hidden="false" customHeight="false" outlineLevel="0" collapsed="false">
      <c r="A1188" s="30" t="n">
        <v>46299.4409722222</v>
      </c>
      <c r="B1188" s="31" t="s">
        <v>79</v>
      </c>
      <c r="C1188" s="31"/>
      <c r="D1188" s="31"/>
      <c r="E1188" s="31"/>
      <c r="F1188" s="26" t="n">
        <f aca="false">INT(A1188-4/24)</f>
        <v>46299</v>
      </c>
    </row>
    <row r="1189" customFormat="false" ht="15" hidden="false" customHeight="false" outlineLevel="0" collapsed="false">
      <c r="A1189" s="30" t="n">
        <v>46299.4430555556</v>
      </c>
      <c r="B1189" s="31" t="s">
        <v>74</v>
      </c>
      <c r="C1189" s="31"/>
      <c r="D1189" s="31" t="s">
        <v>82</v>
      </c>
      <c r="E1189" s="31"/>
      <c r="F1189" s="26" t="n">
        <f aca="false">INT(A1189-4/24)</f>
        <v>46299</v>
      </c>
    </row>
    <row r="1190" customFormat="false" ht="15" hidden="false" customHeight="false" outlineLevel="0" collapsed="false">
      <c r="A1190" s="30" t="n">
        <v>46299.4472222222</v>
      </c>
      <c r="B1190" s="31" t="s">
        <v>75</v>
      </c>
      <c r="C1190" s="31"/>
      <c r="D1190" s="31"/>
      <c r="E1190" s="31"/>
      <c r="F1190" s="26" t="n">
        <f aca="false">INT(A1190-4/24)</f>
        <v>46299</v>
      </c>
    </row>
    <row r="1191" customFormat="false" ht="15" hidden="false" customHeight="false" outlineLevel="0" collapsed="false">
      <c r="A1191" s="30" t="n">
        <v>46299.4479166667</v>
      </c>
      <c r="B1191" s="31" t="s">
        <v>74</v>
      </c>
      <c r="C1191" s="31"/>
      <c r="D1191" s="31" t="s">
        <v>82</v>
      </c>
      <c r="E1191" s="31"/>
      <c r="F1191" s="26" t="n">
        <f aca="false">INT(A1191-4/24)</f>
        <v>46299</v>
      </c>
    </row>
    <row r="1192" customFormat="false" ht="15" hidden="false" customHeight="false" outlineLevel="0" collapsed="false">
      <c r="A1192" s="30" t="n">
        <v>46299.4479166667</v>
      </c>
      <c r="B1192" s="31" t="s">
        <v>77</v>
      </c>
      <c r="C1192" s="31" t="n">
        <v>6</v>
      </c>
      <c r="D1192" s="31"/>
      <c r="E1192" s="31"/>
      <c r="F1192" s="26" t="n">
        <f aca="false">INT(A1192-4/24)</f>
        <v>46299</v>
      </c>
    </row>
    <row r="1193" customFormat="false" ht="15" hidden="false" customHeight="false" outlineLevel="0" collapsed="false">
      <c r="A1193" s="30" t="n">
        <v>46299.5208333333</v>
      </c>
      <c r="B1193" s="31" t="s">
        <v>80</v>
      </c>
      <c r="C1193" s="31"/>
      <c r="D1193" s="31"/>
      <c r="E1193" s="31"/>
      <c r="F1193" s="26" t="n">
        <f aca="false">INT(A1193-4/24)</f>
        <v>46299</v>
      </c>
    </row>
    <row r="1194" customFormat="false" ht="15" hidden="false" customHeight="false" outlineLevel="0" collapsed="false">
      <c r="A1194" s="30" t="n">
        <v>46299.5375</v>
      </c>
      <c r="B1194" s="31" t="s">
        <v>81</v>
      </c>
      <c r="C1194" s="31"/>
      <c r="D1194" s="31"/>
      <c r="E1194" s="31"/>
      <c r="F1194" s="26" t="n">
        <f aca="false">INT(A1194-4/24)</f>
        <v>46299</v>
      </c>
    </row>
    <row r="1195" customFormat="false" ht="15" hidden="false" customHeight="false" outlineLevel="0" collapsed="false">
      <c r="A1195" s="30" t="n">
        <v>46299.5729166667</v>
      </c>
      <c r="B1195" s="31" t="s">
        <v>74</v>
      </c>
      <c r="C1195" s="31"/>
      <c r="D1195" s="31" t="s">
        <v>82</v>
      </c>
      <c r="E1195" s="31"/>
      <c r="F1195" s="26" t="n">
        <f aca="false">INT(A1195-4/24)</f>
        <v>46299</v>
      </c>
    </row>
    <row r="1196" customFormat="false" ht="15" hidden="false" customHeight="false" outlineLevel="0" collapsed="false">
      <c r="A1196" s="30" t="n">
        <v>46299.5763888889</v>
      </c>
      <c r="B1196" s="31" t="s">
        <v>77</v>
      </c>
      <c r="C1196" s="31" t="n">
        <v>5</v>
      </c>
      <c r="D1196" s="31"/>
      <c r="E1196" s="31"/>
      <c r="F1196" s="26" t="n">
        <f aca="false">INT(A1196-4/24)</f>
        <v>46299</v>
      </c>
    </row>
    <row r="1197" customFormat="false" ht="15" hidden="false" customHeight="false" outlineLevel="0" collapsed="false">
      <c r="A1197" s="30" t="n">
        <v>46299.6625</v>
      </c>
      <c r="B1197" s="31" t="s">
        <v>80</v>
      </c>
      <c r="C1197" s="31"/>
      <c r="D1197" s="31"/>
      <c r="E1197" s="31"/>
      <c r="F1197" s="26" t="n">
        <f aca="false">INT(A1197-4/24)</f>
        <v>46299</v>
      </c>
    </row>
    <row r="1198" customFormat="false" ht="15" hidden="false" customHeight="false" outlineLevel="0" collapsed="false">
      <c r="A1198" s="30" t="n">
        <v>46299.7465277778</v>
      </c>
      <c r="B1198" s="31" t="s">
        <v>81</v>
      </c>
      <c r="C1198" s="31"/>
      <c r="D1198" s="31"/>
      <c r="E1198" s="31"/>
      <c r="F1198" s="26" t="n">
        <f aca="false">INT(A1198-4/24)</f>
        <v>46299</v>
      </c>
    </row>
    <row r="1199" customFormat="false" ht="15" hidden="false" customHeight="false" outlineLevel="0" collapsed="false">
      <c r="A1199" s="30" t="n">
        <v>46299.7465277778</v>
      </c>
      <c r="B1199" s="31" t="s">
        <v>77</v>
      </c>
      <c r="C1199" s="31" t="n">
        <v>5</v>
      </c>
      <c r="D1199" s="31"/>
      <c r="E1199" s="31"/>
      <c r="F1199" s="26" t="n">
        <f aca="false">INT(A1199-4/24)</f>
        <v>46299</v>
      </c>
    </row>
    <row r="1200" customFormat="false" ht="15" hidden="false" customHeight="false" outlineLevel="0" collapsed="false">
      <c r="A1200" s="30" t="n">
        <v>46299.7555555556</v>
      </c>
      <c r="B1200" s="31" t="s">
        <v>75</v>
      </c>
      <c r="C1200" s="31"/>
      <c r="D1200" s="31"/>
      <c r="E1200" s="31"/>
      <c r="F1200" s="26" t="n">
        <f aca="false">INT(A1200-4/24)</f>
        <v>46299</v>
      </c>
    </row>
    <row r="1201" customFormat="false" ht="15" hidden="false" customHeight="false" outlineLevel="0" collapsed="false">
      <c r="A1201" s="30" t="n">
        <v>46299.8263888889</v>
      </c>
      <c r="B1201" s="31" t="s">
        <v>74</v>
      </c>
      <c r="C1201" s="31"/>
      <c r="D1201" s="31" t="s">
        <v>82</v>
      </c>
      <c r="E1201" s="31"/>
      <c r="F1201" s="26" t="n">
        <f aca="false">INT(A1201-4/24)</f>
        <v>46299</v>
      </c>
    </row>
    <row r="1202" customFormat="false" ht="15" hidden="false" customHeight="false" outlineLevel="0" collapsed="false">
      <c r="A1202" s="30" t="n">
        <v>46299.8597222222</v>
      </c>
      <c r="B1202" s="31" t="s">
        <v>80</v>
      </c>
      <c r="C1202" s="31"/>
      <c r="D1202" s="31"/>
      <c r="E1202" s="31"/>
      <c r="F1202" s="26" t="n">
        <f aca="false">INT(A1202-4/24)</f>
        <v>46299</v>
      </c>
    </row>
    <row r="1203" customFormat="false" ht="15" hidden="false" customHeight="false" outlineLevel="0" collapsed="false">
      <c r="A1203" s="30" t="n">
        <v>46299.86875</v>
      </c>
      <c r="B1203" s="31" t="s">
        <v>81</v>
      </c>
      <c r="C1203" s="31"/>
      <c r="D1203" s="31"/>
      <c r="E1203" s="31"/>
      <c r="F1203" s="26" t="n">
        <f aca="false">INT(A1203-4/24)</f>
        <v>46299</v>
      </c>
    </row>
    <row r="1204" customFormat="false" ht="15" hidden="false" customHeight="false" outlineLevel="0" collapsed="false">
      <c r="A1204" s="30" t="n">
        <v>46299.86875</v>
      </c>
      <c r="B1204" s="31" t="s">
        <v>77</v>
      </c>
      <c r="C1204" s="31" t="n">
        <v>5</v>
      </c>
      <c r="D1204" s="31"/>
      <c r="E1204" s="31"/>
      <c r="F1204" s="26" t="n">
        <f aca="false">INT(A1204-4/24)</f>
        <v>46299</v>
      </c>
    </row>
    <row r="1205" customFormat="false" ht="15" hidden="false" customHeight="false" outlineLevel="0" collapsed="false">
      <c r="A1205" s="30" t="n">
        <v>46299.9895833333</v>
      </c>
      <c r="B1205" s="31" t="s">
        <v>74</v>
      </c>
      <c r="C1205" s="31"/>
      <c r="D1205" s="31" t="s">
        <v>82</v>
      </c>
      <c r="E1205" s="31"/>
      <c r="F1205" s="26" t="n">
        <f aca="false">INT(A1205-4/24)</f>
        <v>46299</v>
      </c>
    </row>
    <row r="1206" customFormat="false" ht="15" hidden="false" customHeight="false" outlineLevel="0" collapsed="false">
      <c r="A1206" s="30" t="n">
        <v>46300.0020833333</v>
      </c>
      <c r="B1206" s="31" t="s">
        <v>75</v>
      </c>
      <c r="C1206" s="31"/>
      <c r="D1206" s="31"/>
      <c r="E1206" s="31"/>
      <c r="F1206" s="26" t="n">
        <f aca="false">INT(A1206-4/24)</f>
        <v>46299</v>
      </c>
    </row>
    <row r="1207" customFormat="false" ht="15" hidden="false" customHeight="false" outlineLevel="0" collapsed="false">
      <c r="A1207" s="30" t="n">
        <v>46300.0020833333</v>
      </c>
      <c r="B1207" s="31" t="s">
        <v>77</v>
      </c>
      <c r="C1207" s="31" t="n">
        <v>5</v>
      </c>
      <c r="D1207" s="31"/>
      <c r="E1207" s="31"/>
      <c r="F1207" s="26" t="n">
        <f aca="false">INT(A1207-4/24)</f>
        <v>46299</v>
      </c>
    </row>
    <row r="1208" customFormat="false" ht="15" hidden="false" customHeight="false" outlineLevel="0" collapsed="false">
      <c r="A1208" s="30" t="n">
        <v>46300.0138888889</v>
      </c>
      <c r="B1208" s="31" t="s">
        <v>80</v>
      </c>
      <c r="C1208" s="31"/>
      <c r="D1208" s="31"/>
      <c r="E1208" s="31"/>
      <c r="F1208" s="26" t="n">
        <f aca="false">INT(A1208-4/24)</f>
        <v>46299</v>
      </c>
    </row>
    <row r="1209" customFormat="false" ht="15" hidden="false" customHeight="false" outlineLevel="0" collapsed="false">
      <c r="A1209" s="30" t="n">
        <v>46300.0347222222</v>
      </c>
      <c r="B1209" s="31" t="s">
        <v>81</v>
      </c>
      <c r="C1209" s="31"/>
      <c r="D1209" s="31"/>
      <c r="E1209" s="31"/>
      <c r="F1209" s="26" t="n">
        <f aca="false">INT(A1209-4/24)</f>
        <v>46299</v>
      </c>
    </row>
    <row r="1210" customFormat="false" ht="15" hidden="false" customHeight="false" outlineLevel="0" collapsed="false">
      <c r="A1210" s="30" t="n">
        <v>46300.0347222222</v>
      </c>
      <c r="B1210" s="31" t="s">
        <v>20</v>
      </c>
      <c r="C1210" s="31"/>
      <c r="D1210" s="31"/>
      <c r="E1210" s="31"/>
      <c r="F1210" s="26" t="n">
        <f aca="false">INT(A1210-4/24)</f>
        <v>46299</v>
      </c>
    </row>
    <row r="1211" customFormat="false" ht="15" hidden="false" customHeight="false" outlineLevel="0" collapsed="false">
      <c r="A1211" s="30" t="n">
        <v>46300.3173611111</v>
      </c>
      <c r="B1211" s="31" t="s">
        <v>79</v>
      </c>
      <c r="C1211" s="31"/>
      <c r="D1211" s="31"/>
      <c r="E1211" s="31"/>
      <c r="F1211" s="26" t="n">
        <f aca="false">INT(A1211-4/24)</f>
        <v>46300</v>
      </c>
    </row>
    <row r="1212" customFormat="false" ht="15" hidden="false" customHeight="false" outlineLevel="0" collapsed="false">
      <c r="A1212" s="30" t="n">
        <v>46300.3277777778</v>
      </c>
      <c r="B1212" s="31" t="s">
        <v>74</v>
      </c>
      <c r="C1212" s="31"/>
      <c r="D1212" s="31" t="s">
        <v>82</v>
      </c>
      <c r="E1212" s="31"/>
      <c r="F1212" s="26" t="n">
        <f aca="false">INT(A1212-4/24)</f>
        <v>46300</v>
      </c>
    </row>
    <row r="1213" customFormat="false" ht="15" hidden="false" customHeight="false" outlineLevel="0" collapsed="false">
      <c r="A1213" s="30" t="n">
        <v>46300.3298611111</v>
      </c>
      <c r="B1213" s="31" t="s">
        <v>77</v>
      </c>
      <c r="C1213" s="31" t="n">
        <v>6</v>
      </c>
      <c r="D1213" s="31"/>
      <c r="E1213" s="31"/>
      <c r="F1213" s="26" t="n">
        <f aca="false">INT(A1213-4/24)</f>
        <v>46300</v>
      </c>
    </row>
    <row r="1214" customFormat="false" ht="15" hidden="false" customHeight="false" outlineLevel="0" collapsed="false">
      <c r="A1214" s="30" t="n">
        <v>46300.3458333333</v>
      </c>
      <c r="B1214" s="31" t="s">
        <v>75</v>
      </c>
      <c r="C1214" s="31"/>
      <c r="D1214" s="31"/>
      <c r="E1214" s="31"/>
      <c r="F1214" s="26" t="n">
        <f aca="false">INT(A1214-4/24)</f>
        <v>46300</v>
      </c>
    </row>
    <row r="1215" customFormat="false" ht="15" hidden="false" customHeight="false" outlineLevel="0" collapsed="false">
      <c r="A1215" s="30" t="n">
        <v>46300.375</v>
      </c>
      <c r="B1215" s="31" t="s">
        <v>80</v>
      </c>
      <c r="C1215" s="31"/>
      <c r="D1215" s="31"/>
      <c r="E1215" s="31"/>
      <c r="F1215" s="26" t="n">
        <f aca="false">INT(A1215-4/24)</f>
        <v>46300</v>
      </c>
    </row>
    <row r="1216" customFormat="false" ht="15" hidden="false" customHeight="false" outlineLevel="0" collapsed="false">
      <c r="A1216" s="30" t="n">
        <v>46300.4006944444</v>
      </c>
      <c r="B1216" s="31" t="s">
        <v>81</v>
      </c>
      <c r="C1216" s="31"/>
      <c r="D1216" s="31"/>
      <c r="E1216" s="31"/>
      <c r="F1216" s="26" t="n">
        <f aca="false">INT(A1216-4/24)</f>
        <v>46300</v>
      </c>
    </row>
    <row r="1217" customFormat="false" ht="15" hidden="false" customHeight="false" outlineLevel="0" collapsed="false">
      <c r="A1217" s="30" t="n">
        <v>46300.4097222222</v>
      </c>
      <c r="B1217" s="31" t="s">
        <v>74</v>
      </c>
      <c r="C1217" s="31"/>
      <c r="D1217" s="31" t="s">
        <v>84</v>
      </c>
      <c r="E1217" s="31"/>
      <c r="F1217" s="26" t="n">
        <f aca="false">INT(A1217-4/24)</f>
        <v>46300</v>
      </c>
    </row>
    <row r="1218" customFormat="false" ht="15" hidden="false" customHeight="false" outlineLevel="0" collapsed="false">
      <c r="A1218" s="30" t="n">
        <v>46300.4472222222</v>
      </c>
      <c r="B1218" s="31" t="s">
        <v>77</v>
      </c>
      <c r="C1218" s="31" t="n">
        <v>5</v>
      </c>
      <c r="D1218" s="31"/>
      <c r="E1218" s="31"/>
      <c r="F1218" s="26" t="n">
        <f aca="false">INT(A1218-4/24)</f>
        <v>46300</v>
      </c>
    </row>
    <row r="1219" customFormat="false" ht="15" hidden="false" customHeight="false" outlineLevel="0" collapsed="false">
      <c r="A1219" s="30" t="n">
        <v>46300.4722222222</v>
      </c>
      <c r="B1219" s="31" t="s">
        <v>80</v>
      </c>
      <c r="C1219" s="31"/>
      <c r="D1219" s="31"/>
      <c r="E1219" s="31"/>
      <c r="F1219" s="26" t="n">
        <f aca="false">INT(A1219-4/24)</f>
        <v>46300</v>
      </c>
    </row>
    <row r="1220" customFormat="false" ht="15" hidden="false" customHeight="false" outlineLevel="0" collapsed="false">
      <c r="A1220" s="30" t="n">
        <v>46300.4826388889</v>
      </c>
      <c r="B1220" s="31" t="s">
        <v>81</v>
      </c>
      <c r="C1220" s="31"/>
      <c r="D1220" s="31"/>
      <c r="E1220" s="31"/>
      <c r="F1220" s="26" t="n">
        <f aca="false">INT(A1220-4/24)</f>
        <v>46300</v>
      </c>
    </row>
    <row r="1221" customFormat="false" ht="15" hidden="false" customHeight="false" outlineLevel="0" collapsed="false">
      <c r="A1221" s="30" t="n">
        <v>46300.5763888889</v>
      </c>
      <c r="B1221" s="31" t="s">
        <v>74</v>
      </c>
      <c r="C1221" s="31"/>
      <c r="D1221" s="31" t="s">
        <v>82</v>
      </c>
      <c r="E1221" s="31"/>
      <c r="F1221" s="26" t="n">
        <f aca="false">INT(A1221-4/24)</f>
        <v>46300</v>
      </c>
    </row>
    <row r="1222" customFormat="false" ht="15" hidden="false" customHeight="false" outlineLevel="0" collapsed="false">
      <c r="A1222" s="30" t="n">
        <v>46300.5798611111</v>
      </c>
      <c r="B1222" s="31" t="s">
        <v>77</v>
      </c>
      <c r="C1222" s="31" t="n">
        <v>5</v>
      </c>
      <c r="D1222" s="31"/>
      <c r="E1222" s="31"/>
      <c r="F1222" s="26" t="n">
        <f aca="false">INT(A1222-4/24)</f>
        <v>46300</v>
      </c>
    </row>
    <row r="1223" customFormat="false" ht="15" hidden="false" customHeight="false" outlineLevel="0" collapsed="false">
      <c r="A1223" s="30" t="n">
        <v>46300.5868055556</v>
      </c>
      <c r="B1223" s="31" t="s">
        <v>80</v>
      </c>
      <c r="C1223" s="31"/>
      <c r="D1223" s="31"/>
      <c r="E1223" s="31"/>
      <c r="F1223" s="26" t="n">
        <f aca="false">INT(A1223-4/24)</f>
        <v>46300</v>
      </c>
    </row>
    <row r="1224" customFormat="false" ht="15" hidden="false" customHeight="false" outlineLevel="0" collapsed="false">
      <c r="A1224" s="30" t="n">
        <v>46300.6034722222</v>
      </c>
      <c r="B1224" s="31" t="s">
        <v>81</v>
      </c>
      <c r="C1224" s="31"/>
      <c r="D1224" s="31"/>
      <c r="E1224" s="31"/>
      <c r="F1224" s="26" t="n">
        <f aca="false">INT(A1224-4/24)</f>
        <v>46300</v>
      </c>
    </row>
    <row r="1225" customFormat="false" ht="15" hidden="false" customHeight="false" outlineLevel="0" collapsed="false">
      <c r="A1225" s="30" t="n">
        <v>46300.6125</v>
      </c>
      <c r="B1225" s="31" t="s">
        <v>80</v>
      </c>
      <c r="C1225" s="31"/>
      <c r="D1225" s="31"/>
      <c r="E1225" s="31"/>
      <c r="F1225" s="26" t="n">
        <f aca="false">INT(A1225-4/24)</f>
        <v>46300</v>
      </c>
    </row>
    <row r="1226" customFormat="false" ht="15" hidden="false" customHeight="false" outlineLevel="0" collapsed="false">
      <c r="A1226" s="30" t="n">
        <v>46300.6319444445</v>
      </c>
      <c r="B1226" s="31" t="s">
        <v>81</v>
      </c>
      <c r="C1226" s="31"/>
      <c r="D1226" s="31"/>
      <c r="E1226" s="31"/>
      <c r="F1226" s="26" t="n">
        <f aca="false">INT(A1226-4/24)</f>
        <v>46300</v>
      </c>
    </row>
    <row r="1227" customFormat="false" ht="15" hidden="false" customHeight="false" outlineLevel="0" collapsed="false">
      <c r="A1227" s="30" t="n">
        <v>46300.6854166667</v>
      </c>
      <c r="B1227" s="31" t="s">
        <v>75</v>
      </c>
      <c r="C1227" s="31"/>
      <c r="D1227" s="31"/>
      <c r="E1227" s="31"/>
      <c r="F1227" s="26" t="n">
        <f aca="false">INT(A1227-4/24)</f>
        <v>46300</v>
      </c>
    </row>
    <row r="1228" customFormat="false" ht="15" hidden="false" customHeight="false" outlineLevel="0" collapsed="false">
      <c r="A1228" s="30" t="n">
        <v>46300.7118055556</v>
      </c>
      <c r="B1228" s="31" t="s">
        <v>74</v>
      </c>
      <c r="C1228" s="31"/>
      <c r="D1228" s="31" t="s">
        <v>82</v>
      </c>
      <c r="E1228" s="31"/>
      <c r="F1228" s="26" t="n">
        <f aca="false">INT(A1228-4/24)</f>
        <v>46300</v>
      </c>
    </row>
    <row r="1229" customFormat="false" ht="15" hidden="false" customHeight="false" outlineLevel="0" collapsed="false">
      <c r="A1229" s="30" t="n">
        <v>46300.7152777778</v>
      </c>
      <c r="B1229" s="31" t="s">
        <v>77</v>
      </c>
      <c r="C1229" s="31" t="n">
        <v>5</v>
      </c>
      <c r="D1229" s="31"/>
      <c r="E1229" s="31"/>
      <c r="F1229" s="26" t="n">
        <f aca="false">INT(A1229-4/24)</f>
        <v>46300</v>
      </c>
    </row>
    <row r="1230" customFormat="false" ht="15" hidden="false" customHeight="false" outlineLevel="0" collapsed="false">
      <c r="A1230" s="30" t="n">
        <v>46300.7868055556</v>
      </c>
      <c r="B1230" s="31" t="s">
        <v>80</v>
      </c>
      <c r="C1230" s="31"/>
      <c r="D1230" s="31"/>
      <c r="E1230" s="31"/>
      <c r="F1230" s="26" t="n">
        <f aca="false">INT(A1230-4/24)</f>
        <v>46300</v>
      </c>
    </row>
    <row r="1231" customFormat="false" ht="15" hidden="false" customHeight="false" outlineLevel="0" collapsed="false">
      <c r="A1231" s="30" t="n">
        <v>46300.81875</v>
      </c>
      <c r="B1231" s="31" t="s">
        <v>81</v>
      </c>
      <c r="C1231" s="31"/>
      <c r="D1231" s="31"/>
      <c r="E1231" s="31"/>
      <c r="F1231" s="26" t="n">
        <f aca="false">INT(A1231-4/24)</f>
        <v>46300</v>
      </c>
    </row>
    <row r="1232" customFormat="false" ht="15" hidden="false" customHeight="false" outlineLevel="0" collapsed="false">
      <c r="A1232" s="30" t="n">
        <v>46300.8333333333</v>
      </c>
      <c r="B1232" s="31" t="s">
        <v>77</v>
      </c>
      <c r="C1232" s="31" t="n">
        <v>5</v>
      </c>
      <c r="D1232" s="31"/>
      <c r="E1232" s="31"/>
      <c r="F1232" s="26" t="n">
        <f aca="false">INT(A1232-4/24)</f>
        <v>46300</v>
      </c>
    </row>
    <row r="1233" customFormat="false" ht="15" hidden="false" customHeight="false" outlineLevel="0" collapsed="false">
      <c r="A1233" s="30" t="n">
        <v>46300.9333333333</v>
      </c>
      <c r="B1233" s="31" t="s">
        <v>74</v>
      </c>
      <c r="C1233" s="31"/>
      <c r="D1233" s="31" t="s">
        <v>82</v>
      </c>
      <c r="E1233" s="31"/>
      <c r="F1233" s="26" t="n">
        <f aca="false">INT(A1233-4/24)</f>
        <v>46300</v>
      </c>
    </row>
    <row r="1234" customFormat="false" ht="15" hidden="false" customHeight="false" outlineLevel="0" collapsed="false">
      <c r="A1234" s="30" t="n">
        <v>46300.9680555556</v>
      </c>
      <c r="B1234" s="31" t="s">
        <v>77</v>
      </c>
      <c r="C1234" s="31" t="n">
        <v>5</v>
      </c>
      <c r="D1234" s="31"/>
      <c r="E1234" s="31"/>
      <c r="F1234" s="26" t="n">
        <f aca="false">INT(A1234-4/24)</f>
        <v>46300</v>
      </c>
    </row>
    <row r="1235" customFormat="false" ht="15" hidden="false" customHeight="false" outlineLevel="0" collapsed="false">
      <c r="A1235" s="30" t="n">
        <v>46301.0055555556</v>
      </c>
      <c r="B1235" s="31" t="s">
        <v>75</v>
      </c>
      <c r="C1235" s="31"/>
      <c r="D1235" s="31"/>
      <c r="E1235" s="31"/>
      <c r="F1235" s="26" t="n">
        <f aca="false">INT(A1235-4/24)</f>
        <v>46300</v>
      </c>
    </row>
    <row r="1236" customFormat="false" ht="15" hidden="false" customHeight="false" outlineLevel="0" collapsed="false">
      <c r="A1236" s="30" t="n">
        <v>46301.0055555556</v>
      </c>
      <c r="B1236" s="31" t="s">
        <v>80</v>
      </c>
      <c r="C1236" s="31"/>
      <c r="D1236" s="31"/>
      <c r="E1236" s="31"/>
      <c r="F1236" s="26" t="n">
        <f aca="false">INT(A1236-4/24)</f>
        <v>46300</v>
      </c>
    </row>
    <row r="1237" customFormat="false" ht="15" hidden="false" customHeight="false" outlineLevel="0" collapsed="false">
      <c r="A1237" s="30" t="n">
        <v>46301.03125</v>
      </c>
      <c r="B1237" s="31" t="s">
        <v>81</v>
      </c>
      <c r="C1237" s="31"/>
      <c r="D1237" s="31"/>
      <c r="E1237" s="31"/>
      <c r="F1237" s="26" t="n">
        <f aca="false">INT(A1237-4/24)</f>
        <v>46300</v>
      </c>
    </row>
    <row r="1238" customFormat="false" ht="15" hidden="false" customHeight="false" outlineLevel="0" collapsed="false">
      <c r="A1238" s="30" t="n">
        <v>46301.0319444445</v>
      </c>
      <c r="B1238" s="31" t="s">
        <v>20</v>
      </c>
      <c r="C1238" s="31"/>
      <c r="D1238" s="31"/>
      <c r="E1238" s="31"/>
      <c r="F1238" s="26" t="n">
        <f aca="false">INT(A1238-4/24)</f>
        <v>46300</v>
      </c>
    </row>
    <row r="1239" customFormat="false" ht="15" hidden="false" customHeight="false" outlineLevel="0" collapsed="false">
      <c r="A1239" s="30" t="n">
        <v>46301.3576388889</v>
      </c>
      <c r="B1239" s="31" t="s">
        <v>79</v>
      </c>
      <c r="C1239" s="31"/>
      <c r="D1239" s="31"/>
      <c r="E1239" s="31"/>
      <c r="F1239" s="26" t="n">
        <f aca="false">INT(A1239-4/24)</f>
        <v>46301</v>
      </c>
    </row>
    <row r="1240" customFormat="false" ht="15" hidden="false" customHeight="false" outlineLevel="0" collapsed="false">
      <c r="A1240" s="30" t="n">
        <v>46301.3715277778</v>
      </c>
      <c r="B1240" s="31" t="s">
        <v>74</v>
      </c>
      <c r="C1240" s="31"/>
      <c r="D1240" s="31" t="s">
        <v>82</v>
      </c>
      <c r="E1240" s="31"/>
      <c r="F1240" s="26" t="n">
        <f aca="false">INT(A1240-4/24)</f>
        <v>46301</v>
      </c>
    </row>
    <row r="1241" customFormat="false" ht="15" hidden="false" customHeight="false" outlineLevel="0" collapsed="false">
      <c r="A1241" s="30" t="n">
        <v>46301.375</v>
      </c>
      <c r="B1241" s="31" t="s">
        <v>75</v>
      </c>
      <c r="C1241" s="31"/>
      <c r="D1241" s="31"/>
      <c r="E1241" s="31"/>
      <c r="F1241" s="26" t="n">
        <f aca="false">INT(A1241-4/24)</f>
        <v>46301</v>
      </c>
    </row>
    <row r="1242" customFormat="false" ht="15" hidden="false" customHeight="false" outlineLevel="0" collapsed="false">
      <c r="A1242" s="30" t="n">
        <v>46301.3763888889</v>
      </c>
      <c r="B1242" s="31" t="s">
        <v>77</v>
      </c>
      <c r="C1242" s="31" t="n">
        <v>6</v>
      </c>
      <c r="D1242" s="31"/>
      <c r="E1242" s="31"/>
      <c r="F1242" s="26" t="n">
        <f aca="false">INT(A1242-4/24)</f>
        <v>46301</v>
      </c>
    </row>
    <row r="1243" customFormat="false" ht="15" hidden="false" customHeight="false" outlineLevel="0" collapsed="false">
      <c r="A1243" s="30" t="n">
        <v>46301.4097222222</v>
      </c>
      <c r="B1243" s="31" t="s">
        <v>74</v>
      </c>
      <c r="C1243" s="31"/>
      <c r="D1243" s="31" t="s">
        <v>84</v>
      </c>
      <c r="E1243" s="31"/>
      <c r="F1243" s="26" t="n">
        <f aca="false">INT(A1243-4/24)</f>
        <v>46301</v>
      </c>
    </row>
    <row r="1244" customFormat="false" ht="15" hidden="false" customHeight="false" outlineLevel="0" collapsed="false">
      <c r="A1244" s="30" t="n">
        <v>46301.4458333333</v>
      </c>
      <c r="B1244" s="31" t="s">
        <v>80</v>
      </c>
      <c r="C1244" s="31"/>
      <c r="D1244" s="31"/>
      <c r="E1244" s="31"/>
      <c r="F1244" s="26" t="n">
        <f aca="false">INT(A1244-4/24)</f>
        <v>46301</v>
      </c>
    </row>
    <row r="1245" customFormat="false" ht="15" hidden="false" customHeight="false" outlineLevel="0" collapsed="false">
      <c r="A1245" s="30" t="n">
        <v>46301.4638888889</v>
      </c>
      <c r="B1245" s="31" t="s">
        <v>81</v>
      </c>
      <c r="C1245" s="31"/>
      <c r="D1245" s="31"/>
      <c r="E1245" s="31"/>
      <c r="F1245" s="26" t="n">
        <f aca="false">INT(A1245-4/24)</f>
        <v>46301</v>
      </c>
    </row>
    <row r="1246" customFormat="false" ht="15" hidden="false" customHeight="false" outlineLevel="0" collapsed="false">
      <c r="A1246" s="30" t="n">
        <v>46301.5034722222</v>
      </c>
      <c r="B1246" s="31" t="s">
        <v>77</v>
      </c>
      <c r="C1246" s="31" t="n">
        <v>5</v>
      </c>
      <c r="D1246" s="31"/>
      <c r="E1246" s="31"/>
      <c r="F1246" s="26" t="n">
        <f aca="false">INT(A1246-4/24)</f>
        <v>46301</v>
      </c>
    </row>
    <row r="1247" customFormat="false" ht="15" hidden="false" customHeight="false" outlineLevel="0" collapsed="false">
      <c r="A1247" s="30" t="n">
        <v>46301.5430555556</v>
      </c>
      <c r="B1247" s="31" t="s">
        <v>80</v>
      </c>
      <c r="C1247" s="31"/>
      <c r="D1247" s="31"/>
      <c r="E1247" s="31"/>
      <c r="F1247" s="26" t="n">
        <f aca="false">INT(A1247-4/24)</f>
        <v>46301</v>
      </c>
    </row>
    <row r="1248" customFormat="false" ht="15" hidden="false" customHeight="false" outlineLevel="0" collapsed="false">
      <c r="A1248" s="30" t="n">
        <v>46301.6472222222</v>
      </c>
      <c r="B1248" s="31" t="s">
        <v>81</v>
      </c>
      <c r="C1248" s="31"/>
      <c r="D1248" s="31"/>
      <c r="E1248" s="31"/>
      <c r="F1248" s="26" t="n">
        <f aca="false">INT(A1248-4/24)</f>
        <v>46301</v>
      </c>
    </row>
    <row r="1249" customFormat="false" ht="15" hidden="false" customHeight="false" outlineLevel="0" collapsed="false">
      <c r="A1249" s="30" t="n">
        <v>46301.6569444445</v>
      </c>
      <c r="B1249" s="31" t="s">
        <v>77</v>
      </c>
      <c r="C1249" s="31" t="n">
        <v>5</v>
      </c>
      <c r="D1249" s="31"/>
      <c r="E1249" s="31"/>
      <c r="F1249" s="26" t="n">
        <f aca="false">INT(A1249-4/24)</f>
        <v>46301</v>
      </c>
    </row>
    <row r="1250" customFormat="false" ht="15" hidden="false" customHeight="false" outlineLevel="0" collapsed="false">
      <c r="A1250" s="30" t="n">
        <v>46301.6805555556</v>
      </c>
      <c r="B1250" s="31" t="s">
        <v>74</v>
      </c>
      <c r="C1250" s="31"/>
      <c r="D1250" s="31" t="s">
        <v>82</v>
      </c>
      <c r="E1250" s="31"/>
      <c r="F1250" s="26" t="n">
        <f aca="false">INT(A1250-4/24)</f>
        <v>46301</v>
      </c>
    </row>
    <row r="1251" customFormat="false" ht="15" hidden="false" customHeight="false" outlineLevel="0" collapsed="false">
      <c r="A1251" s="30" t="n">
        <v>46301.6930555556</v>
      </c>
      <c r="B1251" s="31" t="s">
        <v>75</v>
      </c>
      <c r="C1251" s="31"/>
      <c r="D1251" s="31"/>
      <c r="E1251" s="31"/>
      <c r="F1251" s="26" t="n">
        <f aca="false">INT(A1251-4/24)</f>
        <v>46301</v>
      </c>
    </row>
    <row r="1252" customFormat="false" ht="15" hidden="false" customHeight="false" outlineLevel="0" collapsed="false">
      <c r="A1252" s="30" t="n">
        <v>46301.7430555556</v>
      </c>
      <c r="B1252" s="31" t="s">
        <v>74</v>
      </c>
      <c r="C1252" s="31"/>
      <c r="D1252" s="31" t="s">
        <v>82</v>
      </c>
      <c r="E1252" s="31"/>
      <c r="F1252" s="26" t="n">
        <f aca="false">INT(A1252-4/24)</f>
        <v>46301</v>
      </c>
    </row>
    <row r="1253" customFormat="false" ht="15" hidden="false" customHeight="false" outlineLevel="0" collapsed="false">
      <c r="A1253" s="30" t="n">
        <v>46301.7673611111</v>
      </c>
      <c r="B1253" s="31" t="s">
        <v>77</v>
      </c>
      <c r="C1253" s="31" t="n">
        <v>5</v>
      </c>
      <c r="D1253" s="31"/>
      <c r="E1253" s="31"/>
      <c r="F1253" s="26" t="n">
        <f aca="false">INT(A1253-4/24)</f>
        <v>46301</v>
      </c>
    </row>
    <row r="1254" customFormat="false" ht="15" hidden="false" customHeight="false" outlineLevel="0" collapsed="false">
      <c r="A1254" s="30" t="n">
        <v>46301.8673611111</v>
      </c>
      <c r="B1254" s="31" t="s">
        <v>77</v>
      </c>
      <c r="C1254" s="31" t="n">
        <v>5</v>
      </c>
      <c r="D1254" s="31"/>
      <c r="E1254" s="31"/>
      <c r="F1254" s="26" t="n">
        <f aca="false">INT(A1254-4/24)</f>
        <v>46301</v>
      </c>
    </row>
    <row r="1255" customFormat="false" ht="15" hidden="false" customHeight="false" outlineLevel="0" collapsed="false">
      <c r="A1255" s="30" t="n">
        <v>46301.875</v>
      </c>
      <c r="B1255" s="31" t="s">
        <v>80</v>
      </c>
      <c r="C1255" s="31"/>
      <c r="D1255" s="31"/>
      <c r="E1255" s="31"/>
      <c r="F1255" s="26" t="n">
        <f aca="false">INT(A1255-4/24)</f>
        <v>46301</v>
      </c>
    </row>
    <row r="1256" customFormat="false" ht="15" hidden="false" customHeight="false" outlineLevel="0" collapsed="false">
      <c r="A1256" s="30" t="n">
        <v>46301.8951388889</v>
      </c>
      <c r="B1256" s="31" t="s">
        <v>81</v>
      </c>
      <c r="C1256" s="31"/>
      <c r="D1256" s="31"/>
      <c r="E1256" s="31"/>
      <c r="F1256" s="26" t="n">
        <f aca="false">INT(A1256-4/24)</f>
        <v>46301</v>
      </c>
    </row>
    <row r="1257" customFormat="false" ht="15" hidden="false" customHeight="false" outlineLevel="0" collapsed="false">
      <c r="A1257" s="30" t="n">
        <v>46301.9375</v>
      </c>
      <c r="B1257" s="31" t="s">
        <v>74</v>
      </c>
      <c r="C1257" s="31"/>
      <c r="D1257" s="31" t="s">
        <v>82</v>
      </c>
      <c r="E1257" s="31"/>
      <c r="F1257" s="26" t="n">
        <f aca="false">INT(A1257-4/24)</f>
        <v>46301</v>
      </c>
    </row>
    <row r="1258" customFormat="false" ht="15" hidden="false" customHeight="false" outlineLevel="0" collapsed="false">
      <c r="A1258" s="30" t="n">
        <v>46301.9979166667</v>
      </c>
      <c r="B1258" s="31" t="s">
        <v>75</v>
      </c>
      <c r="C1258" s="31"/>
      <c r="D1258" s="31"/>
      <c r="E1258" s="31"/>
      <c r="F1258" s="26" t="n">
        <f aca="false">INT(A1258-4/24)</f>
        <v>46301</v>
      </c>
    </row>
    <row r="1259" customFormat="false" ht="15" hidden="false" customHeight="false" outlineLevel="0" collapsed="false">
      <c r="A1259" s="30" t="n">
        <v>46301.9979166667</v>
      </c>
      <c r="B1259" s="31" t="s">
        <v>77</v>
      </c>
      <c r="C1259" s="31" t="n">
        <v>5</v>
      </c>
      <c r="D1259" s="31"/>
      <c r="E1259" s="31"/>
      <c r="F1259" s="26" t="n">
        <f aca="false">INT(A1259-4/24)</f>
        <v>46301</v>
      </c>
    </row>
    <row r="1260" customFormat="false" ht="15" hidden="false" customHeight="false" outlineLevel="0" collapsed="false">
      <c r="A1260" s="30" t="n">
        <v>46302.0201388889</v>
      </c>
      <c r="B1260" s="31" t="s">
        <v>80</v>
      </c>
      <c r="C1260" s="31"/>
      <c r="D1260" s="31"/>
      <c r="E1260" s="31"/>
      <c r="F1260" s="26" t="n">
        <f aca="false">INT(A1260-4/24)</f>
        <v>46301</v>
      </c>
    </row>
    <row r="1261" customFormat="false" ht="15" hidden="false" customHeight="false" outlineLevel="0" collapsed="false">
      <c r="A1261" s="30" t="n">
        <v>46302.0486111111</v>
      </c>
      <c r="B1261" s="31" t="s">
        <v>81</v>
      </c>
      <c r="C1261" s="31"/>
      <c r="D1261" s="31"/>
      <c r="E1261" s="31"/>
      <c r="F1261" s="26" t="n">
        <f aca="false">INT(A1261-4/24)</f>
        <v>46301</v>
      </c>
    </row>
    <row r="1262" customFormat="false" ht="15" hidden="false" customHeight="false" outlineLevel="0" collapsed="false">
      <c r="A1262" s="30" t="n">
        <v>46302.0486111111</v>
      </c>
      <c r="B1262" s="31" t="s">
        <v>20</v>
      </c>
      <c r="C1262" s="31"/>
      <c r="D1262" s="31"/>
      <c r="E1262" s="31"/>
      <c r="F1262" s="26" t="n">
        <f aca="false">INT(A1262-4/24)</f>
        <v>46301</v>
      </c>
    </row>
    <row r="1263" customFormat="false" ht="15" hidden="false" customHeight="false" outlineLevel="0" collapsed="false">
      <c r="A1263" s="30" t="n">
        <v>46302.3263888889</v>
      </c>
      <c r="B1263" s="31" t="s">
        <v>79</v>
      </c>
      <c r="C1263" s="31"/>
      <c r="D1263" s="31"/>
      <c r="E1263" s="31"/>
      <c r="F1263" s="26" t="n">
        <f aca="false">INT(A1263-4/24)</f>
        <v>46302</v>
      </c>
    </row>
    <row r="1264" customFormat="false" ht="15" hidden="false" customHeight="false" outlineLevel="0" collapsed="false">
      <c r="A1264" s="30" t="n">
        <v>46302.3402777778</v>
      </c>
      <c r="B1264" s="31" t="s">
        <v>74</v>
      </c>
      <c r="C1264" s="31"/>
      <c r="D1264" s="31" t="s">
        <v>82</v>
      </c>
      <c r="E1264" s="31"/>
      <c r="F1264" s="26" t="n">
        <f aca="false">INT(A1264-4/24)</f>
        <v>46302</v>
      </c>
    </row>
    <row r="1265" customFormat="false" ht="15" hidden="false" customHeight="false" outlineLevel="0" collapsed="false">
      <c r="A1265" s="30" t="n">
        <v>46302.3465277778</v>
      </c>
      <c r="B1265" s="31" t="s">
        <v>75</v>
      </c>
      <c r="C1265" s="31"/>
      <c r="D1265" s="31"/>
      <c r="E1265" s="31"/>
      <c r="F1265" s="26" t="n">
        <f aca="false">INT(A1265-4/24)</f>
        <v>46302</v>
      </c>
    </row>
    <row r="1266" customFormat="false" ht="15" hidden="false" customHeight="false" outlineLevel="0" collapsed="false">
      <c r="A1266" s="30" t="n">
        <v>46302.3472222222</v>
      </c>
      <c r="B1266" s="31" t="s">
        <v>77</v>
      </c>
      <c r="C1266" s="31" t="n">
        <v>6</v>
      </c>
      <c r="D1266" s="31"/>
      <c r="E1266" s="31"/>
      <c r="F1266" s="26" t="n">
        <f aca="false">INT(A1266-4/24)</f>
        <v>46302</v>
      </c>
    </row>
    <row r="1267" customFormat="false" ht="15" hidden="false" customHeight="false" outlineLevel="0" collapsed="false">
      <c r="A1267" s="30" t="n">
        <v>46302.3777777778</v>
      </c>
      <c r="B1267" s="31" t="s">
        <v>80</v>
      </c>
      <c r="C1267" s="31"/>
      <c r="D1267" s="31"/>
      <c r="E1267" s="31"/>
      <c r="F1267" s="26" t="n">
        <f aca="false">INT(A1267-4/24)</f>
        <v>46302</v>
      </c>
    </row>
    <row r="1268" customFormat="false" ht="15" hidden="false" customHeight="false" outlineLevel="0" collapsed="false">
      <c r="A1268" s="30" t="n">
        <v>46302.4166666667</v>
      </c>
      <c r="B1268" s="31" t="s">
        <v>81</v>
      </c>
      <c r="C1268" s="31"/>
      <c r="D1268" s="31"/>
      <c r="E1268" s="31"/>
      <c r="F1268" s="26" t="n">
        <f aca="false">INT(A1268-4/24)</f>
        <v>46302</v>
      </c>
    </row>
    <row r="1269" customFormat="false" ht="15" hidden="false" customHeight="false" outlineLevel="0" collapsed="false">
      <c r="A1269" s="30" t="n">
        <v>46302.4798611111</v>
      </c>
      <c r="B1269" s="31" t="s">
        <v>77</v>
      </c>
      <c r="C1269" s="31" t="n">
        <v>5</v>
      </c>
      <c r="D1269" s="31"/>
      <c r="E1269" s="31"/>
      <c r="F1269" s="26" t="n">
        <f aca="false">INT(A1269-4/24)</f>
        <v>46302</v>
      </c>
    </row>
    <row r="1270" customFormat="false" ht="15" hidden="false" customHeight="false" outlineLevel="0" collapsed="false">
      <c r="A1270" s="30" t="n">
        <v>46302.5263888889</v>
      </c>
      <c r="B1270" s="31" t="s">
        <v>74</v>
      </c>
      <c r="C1270" s="31"/>
      <c r="D1270" s="31" t="s">
        <v>82</v>
      </c>
      <c r="E1270" s="31"/>
      <c r="F1270" s="26" t="n">
        <f aca="false">INT(A1270-4/24)</f>
        <v>46302</v>
      </c>
    </row>
    <row r="1271" customFormat="false" ht="15" hidden="false" customHeight="false" outlineLevel="0" collapsed="false">
      <c r="A1271" s="30" t="n">
        <v>46302.5569444444</v>
      </c>
      <c r="B1271" s="31" t="s">
        <v>80</v>
      </c>
      <c r="C1271" s="31"/>
      <c r="D1271" s="31"/>
      <c r="E1271" s="31"/>
      <c r="F1271" s="26" t="n">
        <f aca="false">INT(A1271-4/24)</f>
        <v>46302</v>
      </c>
    </row>
    <row r="1272" customFormat="false" ht="15" hidden="false" customHeight="false" outlineLevel="0" collapsed="false">
      <c r="A1272" s="30" t="n">
        <v>46302.6590277778</v>
      </c>
      <c r="B1272" s="31" t="s">
        <v>81</v>
      </c>
      <c r="C1272" s="31"/>
      <c r="D1272" s="31"/>
      <c r="E1272" s="31"/>
      <c r="F1272" s="26" t="n">
        <f aca="false">INT(A1272-4/24)</f>
        <v>46302</v>
      </c>
    </row>
    <row r="1273" customFormat="false" ht="15" hidden="false" customHeight="false" outlineLevel="0" collapsed="false">
      <c r="A1273" s="30" t="n">
        <v>46302.6590277778</v>
      </c>
      <c r="B1273" s="31" t="s">
        <v>77</v>
      </c>
      <c r="C1273" s="31" t="n">
        <v>5</v>
      </c>
      <c r="D1273" s="31"/>
      <c r="E1273" s="31"/>
      <c r="F1273" s="26" t="n">
        <f aca="false">INT(A1273-4/24)</f>
        <v>46302</v>
      </c>
    </row>
    <row r="1274" customFormat="false" ht="15" hidden="false" customHeight="false" outlineLevel="0" collapsed="false">
      <c r="A1274" s="30" t="n">
        <v>46302.74375</v>
      </c>
      <c r="B1274" s="31" t="s">
        <v>74</v>
      </c>
      <c r="C1274" s="31"/>
      <c r="D1274" s="31" t="s">
        <v>82</v>
      </c>
      <c r="E1274" s="31"/>
      <c r="F1274" s="26" t="n">
        <f aca="false">INT(A1274-4/24)</f>
        <v>46302</v>
      </c>
    </row>
    <row r="1275" customFormat="false" ht="15" hidden="false" customHeight="false" outlineLevel="0" collapsed="false">
      <c r="A1275" s="30" t="n">
        <v>46302.7472222222</v>
      </c>
      <c r="B1275" s="31" t="s">
        <v>75</v>
      </c>
      <c r="C1275" s="31"/>
      <c r="D1275" s="31"/>
      <c r="E1275" s="31"/>
      <c r="F1275" s="26" t="n">
        <f aca="false">INT(A1275-4/24)</f>
        <v>46302</v>
      </c>
    </row>
    <row r="1276" customFormat="false" ht="15" hidden="false" customHeight="false" outlineLevel="0" collapsed="false">
      <c r="A1276" s="30" t="n">
        <v>46302.7604166667</v>
      </c>
      <c r="B1276" s="31" t="s">
        <v>80</v>
      </c>
      <c r="C1276" s="31"/>
      <c r="D1276" s="31"/>
      <c r="E1276" s="31"/>
      <c r="F1276" s="26" t="n">
        <f aca="false">INT(A1276-4/24)</f>
        <v>46302</v>
      </c>
    </row>
    <row r="1277" customFormat="false" ht="15" hidden="false" customHeight="false" outlineLevel="0" collapsed="false">
      <c r="A1277" s="30" t="n">
        <v>46302.7708333333</v>
      </c>
      <c r="B1277" s="31" t="s">
        <v>81</v>
      </c>
      <c r="C1277" s="31"/>
      <c r="D1277" s="31"/>
      <c r="E1277" s="31"/>
      <c r="F1277" s="26" t="n">
        <f aca="false">INT(A1277-4/24)</f>
        <v>46302</v>
      </c>
    </row>
    <row r="1278" customFormat="false" ht="15" hidden="false" customHeight="false" outlineLevel="0" collapsed="false">
      <c r="A1278" s="30" t="n">
        <v>46302.7902777778</v>
      </c>
      <c r="B1278" s="31" t="s">
        <v>74</v>
      </c>
      <c r="C1278" s="31"/>
      <c r="D1278" s="31" t="s">
        <v>82</v>
      </c>
      <c r="E1278" s="31"/>
      <c r="F1278" s="26" t="n">
        <f aca="false">INT(A1278-4/24)</f>
        <v>46302</v>
      </c>
    </row>
    <row r="1279" customFormat="false" ht="15" hidden="false" customHeight="false" outlineLevel="0" collapsed="false">
      <c r="A1279" s="30" t="n">
        <v>46302.8027777778</v>
      </c>
      <c r="B1279" s="31" t="s">
        <v>77</v>
      </c>
      <c r="C1279" s="31" t="n">
        <v>5</v>
      </c>
      <c r="D1279" s="31"/>
      <c r="E1279" s="31"/>
      <c r="F1279" s="26" t="n">
        <f aca="false">INT(A1279-4/24)</f>
        <v>46302</v>
      </c>
    </row>
    <row r="1280" customFormat="false" ht="15" hidden="false" customHeight="false" outlineLevel="0" collapsed="false">
      <c r="A1280" s="30" t="n">
        <v>46302.9555555556</v>
      </c>
      <c r="B1280" s="31" t="s">
        <v>74</v>
      </c>
      <c r="C1280" s="31"/>
      <c r="D1280" s="31" t="s">
        <v>82</v>
      </c>
      <c r="E1280" s="31"/>
      <c r="F1280" s="26" t="n">
        <f aca="false">INT(A1280-4/24)</f>
        <v>46302</v>
      </c>
    </row>
    <row r="1281" customFormat="false" ht="15" hidden="false" customHeight="false" outlineLevel="0" collapsed="false">
      <c r="A1281" s="30" t="n">
        <v>46302.9576388889</v>
      </c>
      <c r="B1281" s="31" t="s">
        <v>77</v>
      </c>
      <c r="C1281" s="31" t="n">
        <v>5</v>
      </c>
      <c r="D1281" s="31"/>
      <c r="E1281" s="31"/>
      <c r="F1281" s="26" t="n">
        <f aca="false">INT(A1281-4/24)</f>
        <v>46302</v>
      </c>
    </row>
    <row r="1282" customFormat="false" ht="15" hidden="false" customHeight="false" outlineLevel="0" collapsed="false">
      <c r="A1282" s="30" t="n">
        <v>46302.9875</v>
      </c>
      <c r="B1282" s="31" t="s">
        <v>74</v>
      </c>
      <c r="C1282" s="31"/>
      <c r="D1282" s="31" t="s">
        <v>84</v>
      </c>
      <c r="E1282" s="31"/>
      <c r="F1282" s="26" t="n">
        <f aca="false">INT(A1282-4/24)</f>
        <v>46302</v>
      </c>
    </row>
    <row r="1283" customFormat="false" ht="15" hidden="false" customHeight="false" outlineLevel="0" collapsed="false">
      <c r="A1283" s="30" t="n">
        <v>46303.0402777778</v>
      </c>
      <c r="B1283" s="31" t="s">
        <v>20</v>
      </c>
      <c r="C1283" s="31"/>
      <c r="D1283" s="31"/>
      <c r="E1283" s="31"/>
      <c r="F1283" s="26" t="n">
        <f aca="false">INT(A1283-4/24)</f>
        <v>46302</v>
      </c>
    </row>
    <row r="1284" customFormat="false" ht="15" hidden="false" customHeight="false" outlineLevel="0" collapsed="false">
      <c r="A1284" s="30" t="n">
        <v>46303.3555555556</v>
      </c>
      <c r="B1284" s="31" t="s">
        <v>79</v>
      </c>
      <c r="C1284" s="31"/>
      <c r="D1284" s="31"/>
      <c r="E1284" s="31"/>
      <c r="F1284" s="26" t="n">
        <f aca="false">INT(A1284-4/24)</f>
        <v>46303</v>
      </c>
    </row>
    <row r="1285" customFormat="false" ht="15" hidden="false" customHeight="false" outlineLevel="0" collapsed="false">
      <c r="A1285" s="30" t="n">
        <v>46303.3694444444</v>
      </c>
      <c r="B1285" s="31" t="s">
        <v>74</v>
      </c>
      <c r="C1285" s="31"/>
      <c r="D1285" s="31" t="s">
        <v>82</v>
      </c>
      <c r="E1285" s="31"/>
      <c r="F1285" s="26" t="n">
        <f aca="false">INT(A1285-4/24)</f>
        <v>46303</v>
      </c>
    </row>
    <row r="1286" customFormat="false" ht="15" hidden="false" customHeight="false" outlineLevel="0" collapsed="false">
      <c r="A1286" s="30" t="n">
        <v>46303.3715277778</v>
      </c>
      <c r="B1286" s="31" t="s">
        <v>75</v>
      </c>
      <c r="C1286" s="31"/>
      <c r="D1286" s="31"/>
      <c r="E1286" s="31"/>
      <c r="F1286" s="26" t="n">
        <f aca="false">INT(A1286-4/24)</f>
        <v>46303</v>
      </c>
    </row>
    <row r="1287" customFormat="false" ht="15" hidden="false" customHeight="false" outlineLevel="0" collapsed="false">
      <c r="A1287" s="30" t="n">
        <v>46303.3736111111</v>
      </c>
      <c r="B1287" s="31" t="s">
        <v>77</v>
      </c>
      <c r="C1287" s="31" t="n">
        <v>6</v>
      </c>
      <c r="D1287" s="31"/>
      <c r="E1287" s="31"/>
      <c r="F1287" s="26" t="n">
        <f aca="false">INT(A1287-4/24)</f>
        <v>46303</v>
      </c>
    </row>
    <row r="1288" customFormat="false" ht="15" hidden="false" customHeight="false" outlineLevel="0" collapsed="false">
      <c r="A1288" s="30" t="n">
        <v>46303.4722222222</v>
      </c>
      <c r="B1288" s="31" t="s">
        <v>74</v>
      </c>
      <c r="C1288" s="31"/>
      <c r="D1288" s="31" t="s">
        <v>82</v>
      </c>
      <c r="E1288" s="31"/>
      <c r="F1288" s="26" t="n">
        <f aca="false">INT(A1288-4/24)</f>
        <v>46303</v>
      </c>
    </row>
    <row r="1289" customFormat="false" ht="15" hidden="false" customHeight="false" outlineLevel="0" collapsed="false">
      <c r="A1289" s="30" t="n">
        <v>46303.4951388889</v>
      </c>
      <c r="B1289" s="31" t="s">
        <v>77</v>
      </c>
      <c r="C1289" s="31" t="n">
        <v>5</v>
      </c>
      <c r="D1289" s="31"/>
      <c r="E1289" s="31"/>
      <c r="F1289" s="26" t="n">
        <f aca="false">INT(A1289-4/24)</f>
        <v>46303</v>
      </c>
    </row>
    <row r="1290" customFormat="false" ht="15" hidden="false" customHeight="false" outlineLevel="0" collapsed="false">
      <c r="A1290" s="30" t="n">
        <v>46303.5104166667</v>
      </c>
      <c r="B1290" s="31" t="s">
        <v>74</v>
      </c>
      <c r="C1290" s="31"/>
      <c r="D1290" s="31" t="s">
        <v>84</v>
      </c>
      <c r="E1290" s="31"/>
      <c r="F1290" s="26" t="n">
        <f aca="false">INT(A1290-4/24)</f>
        <v>46303</v>
      </c>
    </row>
    <row r="1291" customFormat="false" ht="15" hidden="false" customHeight="false" outlineLevel="0" collapsed="false">
      <c r="A1291" s="30" t="n">
        <v>46303.5541666667</v>
      </c>
      <c r="B1291" s="31" t="s">
        <v>80</v>
      </c>
      <c r="C1291" s="31"/>
      <c r="D1291" s="31"/>
      <c r="E1291" s="31"/>
      <c r="F1291" s="26" t="n">
        <f aca="false">INT(A1291-4/24)</f>
        <v>46303</v>
      </c>
    </row>
    <row r="1292" customFormat="false" ht="15" hidden="false" customHeight="false" outlineLevel="0" collapsed="false">
      <c r="A1292" s="30" t="n">
        <v>46303.5604166667</v>
      </c>
      <c r="B1292" s="31" t="s">
        <v>81</v>
      </c>
      <c r="C1292" s="31"/>
      <c r="D1292" s="31"/>
      <c r="E1292" s="31"/>
      <c r="F1292" s="26" t="n">
        <f aca="false">INT(A1292-4/24)</f>
        <v>46303</v>
      </c>
    </row>
    <row r="1293" customFormat="false" ht="15" hidden="false" customHeight="false" outlineLevel="0" collapsed="false">
      <c r="A1293" s="30" t="n">
        <v>46303.6055555556</v>
      </c>
      <c r="B1293" s="31" t="s">
        <v>77</v>
      </c>
      <c r="C1293" s="31" t="n">
        <v>5</v>
      </c>
      <c r="D1293" s="31"/>
      <c r="E1293" s="31"/>
      <c r="F1293" s="26" t="n">
        <f aca="false">INT(A1293-4/24)</f>
        <v>46303</v>
      </c>
    </row>
    <row r="1294" customFormat="false" ht="15" hidden="false" customHeight="false" outlineLevel="0" collapsed="false">
      <c r="A1294" s="30" t="n">
        <v>46303.625</v>
      </c>
      <c r="B1294" s="31" t="s">
        <v>80</v>
      </c>
      <c r="C1294" s="31"/>
      <c r="D1294" s="31"/>
      <c r="E1294" s="31"/>
      <c r="F1294" s="26" t="n">
        <f aca="false">INT(A1294-4/24)</f>
        <v>46303</v>
      </c>
    </row>
    <row r="1295" customFormat="false" ht="15" hidden="false" customHeight="false" outlineLevel="0" collapsed="false">
      <c r="A1295" s="30" t="n">
        <v>46303.6736111111</v>
      </c>
      <c r="B1295" s="31" t="s">
        <v>81</v>
      </c>
      <c r="C1295" s="31"/>
      <c r="D1295" s="31"/>
      <c r="E1295" s="31"/>
      <c r="F1295" s="26" t="n">
        <f aca="false">INT(A1295-4/24)</f>
        <v>46303</v>
      </c>
    </row>
    <row r="1296" customFormat="false" ht="15" hidden="false" customHeight="false" outlineLevel="0" collapsed="false">
      <c r="A1296" s="30" t="n">
        <v>46303.6826388889</v>
      </c>
      <c r="B1296" s="31" t="s">
        <v>75</v>
      </c>
      <c r="C1296" s="31"/>
      <c r="D1296" s="31"/>
      <c r="E1296" s="31"/>
      <c r="F1296" s="26" t="n">
        <f aca="false">INT(A1296-4/24)</f>
        <v>46303</v>
      </c>
    </row>
    <row r="1297" customFormat="false" ht="15" hidden="false" customHeight="false" outlineLevel="0" collapsed="false">
      <c r="A1297" s="30" t="n">
        <v>46303.7083333333</v>
      </c>
      <c r="B1297" s="31" t="s">
        <v>74</v>
      </c>
      <c r="C1297" s="31"/>
      <c r="D1297" s="31" t="s">
        <v>82</v>
      </c>
      <c r="E1297" s="31"/>
      <c r="F1297" s="26" t="n">
        <f aca="false">INT(A1297-4/24)</f>
        <v>46303</v>
      </c>
    </row>
    <row r="1298" customFormat="false" ht="15" hidden="false" customHeight="false" outlineLevel="0" collapsed="false">
      <c r="A1298" s="30" t="n">
        <v>46303.7479166667</v>
      </c>
      <c r="B1298" s="31" t="s">
        <v>77</v>
      </c>
      <c r="C1298" s="31" t="n">
        <v>5</v>
      </c>
      <c r="D1298" s="31"/>
      <c r="E1298" s="31"/>
      <c r="F1298" s="26" t="n">
        <f aca="false">INT(A1298-4/24)</f>
        <v>46303</v>
      </c>
    </row>
    <row r="1299" customFormat="false" ht="15" hidden="false" customHeight="false" outlineLevel="0" collapsed="false">
      <c r="A1299" s="30" t="n">
        <v>46303.7777777778</v>
      </c>
      <c r="B1299" s="31" t="s">
        <v>80</v>
      </c>
      <c r="C1299" s="31"/>
      <c r="D1299" s="31"/>
      <c r="E1299" s="31"/>
      <c r="F1299" s="26" t="n">
        <f aca="false">INT(A1299-4/24)</f>
        <v>46303</v>
      </c>
    </row>
    <row r="1300" customFormat="false" ht="15" hidden="false" customHeight="false" outlineLevel="0" collapsed="false">
      <c r="A1300" s="30" t="n">
        <v>46303.8055555556</v>
      </c>
      <c r="B1300" s="31" t="s">
        <v>81</v>
      </c>
      <c r="C1300" s="31"/>
      <c r="D1300" s="31"/>
      <c r="E1300" s="31"/>
      <c r="F1300" s="26" t="n">
        <f aca="false">INT(A1300-4/24)</f>
        <v>46303</v>
      </c>
    </row>
    <row r="1301" customFormat="false" ht="15" hidden="false" customHeight="false" outlineLevel="0" collapsed="false">
      <c r="A1301" s="30" t="n">
        <v>46303.8638888889</v>
      </c>
      <c r="B1301" s="31" t="s">
        <v>74</v>
      </c>
      <c r="C1301" s="31"/>
      <c r="D1301" s="31" t="s">
        <v>82</v>
      </c>
      <c r="E1301" s="31"/>
      <c r="F1301" s="26" t="n">
        <f aca="false">INT(A1301-4/24)</f>
        <v>46303</v>
      </c>
    </row>
    <row r="1302" customFormat="false" ht="15" hidden="false" customHeight="false" outlineLevel="0" collapsed="false">
      <c r="A1302" s="30" t="n">
        <v>46303.8854166667</v>
      </c>
      <c r="B1302" s="31" t="s">
        <v>77</v>
      </c>
      <c r="C1302" s="31" t="n">
        <v>5</v>
      </c>
      <c r="D1302" s="31"/>
      <c r="E1302" s="31"/>
      <c r="F1302" s="26" t="n">
        <f aca="false">INT(A1302-4/24)</f>
        <v>46303</v>
      </c>
    </row>
    <row r="1303" customFormat="false" ht="15" hidden="false" customHeight="false" outlineLevel="0" collapsed="false">
      <c r="A1303" s="30" t="n">
        <v>46303.9375</v>
      </c>
      <c r="B1303" s="31" t="s">
        <v>74</v>
      </c>
      <c r="C1303" s="31"/>
      <c r="D1303" s="31" t="s">
        <v>82</v>
      </c>
      <c r="E1303" s="31"/>
      <c r="F1303" s="26" t="n">
        <f aca="false">INT(A1303-4/24)</f>
        <v>46303</v>
      </c>
    </row>
    <row r="1304" customFormat="false" ht="15" hidden="false" customHeight="false" outlineLevel="0" collapsed="false">
      <c r="A1304" s="30" t="n">
        <v>46303.9722222222</v>
      </c>
      <c r="B1304" s="31" t="s">
        <v>77</v>
      </c>
      <c r="C1304" s="31" t="n">
        <v>5</v>
      </c>
      <c r="D1304" s="31"/>
      <c r="E1304" s="31"/>
      <c r="F1304" s="26" t="n">
        <f aca="false">INT(A1304-4/24)</f>
        <v>46303</v>
      </c>
    </row>
    <row r="1305" customFormat="false" ht="15" hidden="false" customHeight="false" outlineLevel="0" collapsed="false">
      <c r="A1305" s="30" t="n">
        <v>46303.9791666667</v>
      </c>
      <c r="B1305" s="31" t="s">
        <v>80</v>
      </c>
      <c r="C1305" s="31"/>
      <c r="D1305" s="31"/>
      <c r="E1305" s="31"/>
      <c r="F1305" s="26" t="n">
        <f aca="false">INT(A1305-4/24)</f>
        <v>46303</v>
      </c>
    </row>
    <row r="1306" customFormat="false" ht="15" hidden="false" customHeight="false" outlineLevel="0" collapsed="false">
      <c r="A1306" s="30" t="n">
        <v>46304.0152777778</v>
      </c>
      <c r="B1306" s="31" t="s">
        <v>81</v>
      </c>
      <c r="C1306" s="31"/>
      <c r="D1306" s="31"/>
      <c r="E1306" s="31"/>
      <c r="F1306" s="26" t="n">
        <f aca="false">INT(A1306-4/24)</f>
        <v>46303</v>
      </c>
    </row>
    <row r="1307" customFormat="false" ht="15" hidden="false" customHeight="false" outlineLevel="0" collapsed="false">
      <c r="A1307" s="30" t="n">
        <v>46304.0152777778</v>
      </c>
      <c r="B1307" s="31" t="s">
        <v>75</v>
      </c>
      <c r="C1307" s="31"/>
      <c r="D1307" s="31"/>
      <c r="E1307" s="31"/>
      <c r="F1307" s="26" t="n">
        <f aca="false">INT(A1307-4/24)</f>
        <v>46303</v>
      </c>
    </row>
    <row r="1308" customFormat="false" ht="15" hidden="false" customHeight="false" outlineLevel="0" collapsed="false">
      <c r="A1308" s="30" t="n">
        <v>46304.0152777778</v>
      </c>
      <c r="B1308" s="31" t="s">
        <v>20</v>
      </c>
      <c r="C1308" s="31"/>
      <c r="D1308" s="31"/>
      <c r="E1308" s="31"/>
      <c r="F1308" s="26" t="n">
        <f aca="false">INT(A1308-4/24)</f>
        <v>46303</v>
      </c>
    </row>
    <row r="1309" customFormat="false" ht="15" hidden="false" customHeight="false" outlineLevel="0" collapsed="false">
      <c r="A1309" s="30" t="n">
        <v>46304.3333333333</v>
      </c>
      <c r="B1309" s="31" t="s">
        <v>79</v>
      </c>
      <c r="C1309" s="31"/>
      <c r="D1309" s="31"/>
      <c r="E1309" s="31"/>
      <c r="F1309" s="26" t="n">
        <f aca="false">INT(A1309-4/24)</f>
        <v>46304</v>
      </c>
    </row>
    <row r="1310" customFormat="false" ht="15" hidden="false" customHeight="false" outlineLevel="0" collapsed="false">
      <c r="A1310" s="30" t="n">
        <v>46304.3506944445</v>
      </c>
      <c r="B1310" s="31" t="s">
        <v>74</v>
      </c>
      <c r="C1310" s="31"/>
      <c r="D1310" s="31" t="s">
        <v>82</v>
      </c>
      <c r="E1310" s="31"/>
      <c r="F1310" s="26" t="n">
        <f aca="false">INT(A1310-4/24)</f>
        <v>46304</v>
      </c>
    </row>
    <row r="1311" customFormat="false" ht="15" hidden="false" customHeight="false" outlineLevel="0" collapsed="false">
      <c r="A1311" s="30" t="n">
        <v>46304.3548611111</v>
      </c>
      <c r="B1311" s="31" t="s">
        <v>75</v>
      </c>
      <c r="C1311" s="31"/>
      <c r="D1311" s="31"/>
      <c r="E1311" s="31"/>
      <c r="F1311" s="26" t="n">
        <f aca="false">INT(A1311-4/24)</f>
        <v>46304</v>
      </c>
    </row>
    <row r="1312" customFormat="false" ht="15" hidden="false" customHeight="false" outlineLevel="0" collapsed="false">
      <c r="A1312" s="30" t="n">
        <v>46304.3555555556</v>
      </c>
      <c r="B1312" s="31" t="s">
        <v>77</v>
      </c>
      <c r="C1312" s="31" t="n">
        <v>6</v>
      </c>
      <c r="D1312" s="31"/>
      <c r="E1312" s="31"/>
      <c r="F1312" s="26" t="n">
        <f aca="false">INT(A1312-4/24)</f>
        <v>46304</v>
      </c>
    </row>
    <row r="1313" customFormat="false" ht="15" hidden="false" customHeight="false" outlineLevel="0" collapsed="false">
      <c r="A1313" s="30" t="n">
        <v>46304.4708333333</v>
      </c>
      <c r="B1313" s="31" t="s">
        <v>77</v>
      </c>
      <c r="C1313" s="31" t="n">
        <v>5</v>
      </c>
      <c r="D1313" s="31"/>
      <c r="E1313" s="31"/>
      <c r="F1313" s="26" t="n">
        <f aca="false">INT(A1313-4/24)</f>
        <v>46304</v>
      </c>
    </row>
    <row r="1314" customFormat="false" ht="15" hidden="false" customHeight="false" outlineLevel="0" collapsed="false">
      <c r="A1314" s="30" t="n">
        <v>46304.5208333333</v>
      </c>
      <c r="B1314" s="31" t="s">
        <v>74</v>
      </c>
      <c r="C1314" s="31"/>
      <c r="D1314" s="31" t="s">
        <v>82</v>
      </c>
      <c r="E1314" s="31"/>
      <c r="F1314" s="26" t="n">
        <f aca="false">INT(A1314-4/24)</f>
        <v>46304</v>
      </c>
    </row>
    <row r="1315" customFormat="false" ht="15" hidden="false" customHeight="false" outlineLevel="0" collapsed="false">
      <c r="A1315" s="30" t="n">
        <v>46304.575</v>
      </c>
      <c r="B1315" s="31" t="s">
        <v>80</v>
      </c>
      <c r="C1315" s="31"/>
      <c r="D1315" s="31"/>
      <c r="E1315" s="31"/>
      <c r="F1315" s="26" t="n">
        <f aca="false">INT(A1315-4/24)</f>
        <v>46304</v>
      </c>
    </row>
    <row r="1316" customFormat="false" ht="15" hidden="false" customHeight="false" outlineLevel="0" collapsed="false">
      <c r="A1316" s="30" t="n">
        <v>46304.5888888889</v>
      </c>
      <c r="B1316" s="31" t="s">
        <v>81</v>
      </c>
      <c r="C1316" s="31"/>
      <c r="D1316" s="31"/>
      <c r="E1316" s="31"/>
      <c r="F1316" s="26" t="n">
        <f aca="false">INT(A1316-4/24)</f>
        <v>46304</v>
      </c>
    </row>
    <row r="1317" customFormat="false" ht="15" hidden="false" customHeight="false" outlineLevel="0" collapsed="false">
      <c r="A1317" s="30" t="n">
        <v>46304.5923611111</v>
      </c>
      <c r="B1317" s="31" t="s">
        <v>77</v>
      </c>
      <c r="C1317" s="31" t="n">
        <v>5</v>
      </c>
      <c r="D1317" s="31"/>
      <c r="E1317" s="31"/>
      <c r="F1317" s="26" t="n">
        <f aca="false">INT(A1317-4/24)</f>
        <v>46304</v>
      </c>
    </row>
    <row r="1318" customFormat="false" ht="15" hidden="false" customHeight="false" outlineLevel="0" collapsed="false">
      <c r="A1318" s="30" t="n">
        <v>46304.6458333333</v>
      </c>
      <c r="B1318" s="31" t="s">
        <v>74</v>
      </c>
      <c r="C1318" s="31"/>
      <c r="D1318" s="31" t="s">
        <v>84</v>
      </c>
      <c r="E1318" s="31"/>
      <c r="F1318" s="26" t="n">
        <f aca="false">INT(A1318-4/24)</f>
        <v>46304</v>
      </c>
    </row>
    <row r="1319" customFormat="false" ht="15" hidden="false" customHeight="false" outlineLevel="0" collapsed="false">
      <c r="A1319" s="30" t="n">
        <v>46304.7</v>
      </c>
      <c r="B1319" s="31" t="s">
        <v>75</v>
      </c>
      <c r="C1319" s="31"/>
      <c r="D1319" s="31"/>
      <c r="E1319" s="31"/>
      <c r="F1319" s="26" t="n">
        <f aca="false">INT(A1319-4/24)</f>
        <v>46304</v>
      </c>
    </row>
    <row r="1320" customFormat="false" ht="15" hidden="false" customHeight="false" outlineLevel="0" collapsed="false">
      <c r="A1320" s="30" t="n">
        <v>46304.7222222222</v>
      </c>
      <c r="B1320" s="31" t="s">
        <v>77</v>
      </c>
      <c r="C1320" s="31" t="n">
        <v>5</v>
      </c>
      <c r="D1320" s="31"/>
      <c r="E1320" s="31"/>
      <c r="F1320" s="26" t="n">
        <f aca="false">INT(A1320-4/24)</f>
        <v>46304</v>
      </c>
    </row>
    <row r="1321" customFormat="false" ht="15" hidden="false" customHeight="false" outlineLevel="0" collapsed="false">
      <c r="A1321" s="30" t="n">
        <v>46304.7333333333</v>
      </c>
      <c r="B1321" s="31" t="s">
        <v>80</v>
      </c>
      <c r="C1321" s="31"/>
      <c r="D1321" s="31"/>
      <c r="E1321" s="31"/>
      <c r="F1321" s="26" t="n">
        <f aca="false">INT(A1321-4/24)</f>
        <v>46304</v>
      </c>
    </row>
    <row r="1322" customFormat="false" ht="15" hidden="false" customHeight="false" outlineLevel="0" collapsed="false">
      <c r="A1322" s="30" t="n">
        <v>46304.7708333333</v>
      </c>
      <c r="B1322" s="31" t="s">
        <v>81</v>
      </c>
      <c r="C1322" s="31"/>
      <c r="D1322" s="31"/>
      <c r="E1322" s="31"/>
      <c r="F1322" s="26" t="n">
        <f aca="false">INT(A1322-4/24)</f>
        <v>46304</v>
      </c>
    </row>
    <row r="1323" customFormat="false" ht="15" hidden="false" customHeight="false" outlineLevel="0" collapsed="false">
      <c r="A1323" s="30" t="n">
        <v>46304.8506944445</v>
      </c>
      <c r="B1323" s="31" t="s">
        <v>74</v>
      </c>
      <c r="C1323" s="31"/>
      <c r="D1323" s="31" t="s">
        <v>82</v>
      </c>
      <c r="E1323" s="31"/>
      <c r="F1323" s="26" t="n">
        <f aca="false">INT(A1323-4/24)</f>
        <v>46304</v>
      </c>
    </row>
    <row r="1324" customFormat="false" ht="15" hidden="false" customHeight="false" outlineLevel="0" collapsed="false">
      <c r="A1324" s="30" t="n">
        <v>46304.8541666667</v>
      </c>
      <c r="B1324" s="31" t="s">
        <v>77</v>
      </c>
      <c r="C1324" s="31" t="n">
        <v>5</v>
      </c>
      <c r="D1324" s="31"/>
      <c r="E1324" s="31"/>
      <c r="F1324" s="26" t="n">
        <f aca="false">INT(A1324-4/24)</f>
        <v>46304</v>
      </c>
    </row>
    <row r="1325" customFormat="false" ht="15" hidden="false" customHeight="false" outlineLevel="0" collapsed="false">
      <c r="A1325" s="30" t="n">
        <v>46304.9270833333</v>
      </c>
      <c r="B1325" s="31" t="s">
        <v>80</v>
      </c>
      <c r="C1325" s="31"/>
      <c r="D1325" s="31"/>
      <c r="E1325" s="31"/>
      <c r="F1325" s="26" t="n">
        <f aca="false">INT(A1325-4/24)</f>
        <v>46304</v>
      </c>
    </row>
    <row r="1326" customFormat="false" ht="15" hidden="false" customHeight="false" outlineLevel="0" collapsed="false">
      <c r="A1326" s="30" t="n">
        <v>46304.9479166667</v>
      </c>
      <c r="B1326" s="31" t="s">
        <v>81</v>
      </c>
      <c r="C1326" s="31"/>
      <c r="D1326" s="31"/>
      <c r="E1326" s="31"/>
      <c r="F1326" s="26" t="n">
        <f aca="false">INT(A1326-4/24)</f>
        <v>46304</v>
      </c>
    </row>
    <row r="1327" customFormat="false" ht="15" hidden="false" customHeight="false" outlineLevel="0" collapsed="false">
      <c r="A1327" s="30" t="n">
        <v>46304.9694444445</v>
      </c>
      <c r="B1327" s="31" t="s">
        <v>74</v>
      </c>
      <c r="C1327" s="31"/>
      <c r="D1327" s="31" t="s">
        <v>82</v>
      </c>
      <c r="E1327" s="31"/>
      <c r="F1327" s="26" t="n">
        <f aca="false">INT(A1327-4/24)</f>
        <v>46304</v>
      </c>
    </row>
    <row r="1328" customFormat="false" ht="15" hidden="false" customHeight="false" outlineLevel="0" collapsed="false">
      <c r="A1328" s="30" t="n">
        <v>46304.9777777778</v>
      </c>
      <c r="B1328" s="31" t="s">
        <v>77</v>
      </c>
      <c r="C1328" s="31" t="n">
        <v>5</v>
      </c>
      <c r="D1328" s="31"/>
      <c r="E1328" s="31"/>
      <c r="F1328" s="26" t="n">
        <f aca="false">INT(A1328-4/24)</f>
        <v>46304</v>
      </c>
    </row>
    <row r="1329" customFormat="false" ht="15" hidden="false" customHeight="false" outlineLevel="0" collapsed="false">
      <c r="A1329" s="30" t="n">
        <v>46305.00625</v>
      </c>
      <c r="B1329" s="31" t="s">
        <v>75</v>
      </c>
      <c r="C1329" s="31"/>
      <c r="D1329" s="31"/>
      <c r="E1329" s="31"/>
      <c r="F1329" s="26" t="n">
        <f aca="false">INT(A1329-4/24)</f>
        <v>46304</v>
      </c>
    </row>
    <row r="1330" customFormat="false" ht="15" hidden="false" customHeight="false" outlineLevel="0" collapsed="false">
      <c r="A1330" s="30" t="n">
        <v>46305.0076388889</v>
      </c>
      <c r="B1330" s="31" t="s">
        <v>80</v>
      </c>
      <c r="C1330" s="31"/>
      <c r="D1330" s="31"/>
      <c r="E1330" s="31"/>
      <c r="F1330" s="26" t="n">
        <f aca="false">INT(A1330-4/24)</f>
        <v>46304</v>
      </c>
    </row>
    <row r="1331" customFormat="false" ht="15" hidden="false" customHeight="false" outlineLevel="0" collapsed="false">
      <c r="A1331" s="30" t="n">
        <v>46305.0347222222</v>
      </c>
      <c r="B1331" s="31" t="s">
        <v>81</v>
      </c>
      <c r="C1331" s="31"/>
      <c r="D1331" s="31"/>
      <c r="E1331" s="31"/>
      <c r="F1331" s="26" t="n">
        <f aca="false">INT(A1331-4/24)</f>
        <v>46304</v>
      </c>
    </row>
    <row r="1332" customFormat="false" ht="15" hidden="false" customHeight="false" outlineLevel="0" collapsed="false">
      <c r="A1332" s="30" t="n">
        <v>46305.0347222222</v>
      </c>
      <c r="B1332" s="31" t="s">
        <v>20</v>
      </c>
      <c r="C1332" s="31"/>
      <c r="D1332" s="31"/>
      <c r="E1332" s="31"/>
      <c r="F1332" s="26" t="n">
        <f aca="false">INT(A1332-4/24)</f>
        <v>46304</v>
      </c>
    </row>
    <row r="1333" customFormat="false" ht="15" hidden="false" customHeight="false" outlineLevel="0" collapsed="false">
      <c r="A1333" s="30" t="n">
        <v>46305.3631944444</v>
      </c>
      <c r="B1333" s="31" t="s">
        <v>79</v>
      </c>
      <c r="C1333" s="31"/>
      <c r="D1333" s="31"/>
      <c r="E1333" s="31"/>
      <c r="F1333" s="26" t="n">
        <f aca="false">INT(A1333-4/24)</f>
        <v>46305</v>
      </c>
    </row>
    <row r="1334" customFormat="false" ht="15" hidden="false" customHeight="false" outlineLevel="0" collapsed="false">
      <c r="A1334" s="30" t="n">
        <v>46305.3777777778</v>
      </c>
      <c r="B1334" s="31" t="s">
        <v>74</v>
      </c>
      <c r="C1334" s="31"/>
      <c r="D1334" s="31" t="s">
        <v>82</v>
      </c>
      <c r="E1334" s="31"/>
      <c r="F1334" s="26" t="n">
        <f aca="false">INT(A1334-4/24)</f>
        <v>46305</v>
      </c>
    </row>
    <row r="1335" customFormat="false" ht="15" hidden="false" customHeight="false" outlineLevel="0" collapsed="false">
      <c r="A1335" s="30" t="n">
        <v>46305.3777777778</v>
      </c>
      <c r="B1335" s="31" t="s">
        <v>75</v>
      </c>
      <c r="C1335" s="31"/>
      <c r="D1335" s="31"/>
      <c r="E1335" s="31"/>
      <c r="F1335" s="26" t="n">
        <f aca="false">INT(A1335-4/24)</f>
        <v>46305</v>
      </c>
    </row>
    <row r="1336" customFormat="false" ht="15" hidden="false" customHeight="false" outlineLevel="0" collapsed="false">
      <c r="A1336" s="30" t="n">
        <v>46305.3784722222</v>
      </c>
      <c r="B1336" s="31" t="s">
        <v>77</v>
      </c>
      <c r="C1336" s="31" t="n">
        <v>6</v>
      </c>
      <c r="D1336" s="31"/>
      <c r="E1336" s="31"/>
      <c r="F1336" s="26" t="n">
        <f aca="false">INT(A1336-4/24)</f>
        <v>46305</v>
      </c>
    </row>
    <row r="1337" customFormat="false" ht="15" hidden="false" customHeight="false" outlineLevel="0" collapsed="false">
      <c r="A1337" s="30" t="n">
        <v>46305.5576388889</v>
      </c>
      <c r="B1337" s="31" t="s">
        <v>74</v>
      </c>
      <c r="C1337" s="31"/>
      <c r="D1337" s="31" t="s">
        <v>82</v>
      </c>
      <c r="E1337" s="31"/>
      <c r="F1337" s="26" t="n">
        <f aca="false">INT(A1337-4/24)</f>
        <v>46305</v>
      </c>
    </row>
    <row r="1338" customFormat="false" ht="15" hidden="false" customHeight="false" outlineLevel="0" collapsed="false">
      <c r="A1338" s="30" t="n">
        <v>46305.5770833333</v>
      </c>
      <c r="B1338" s="31" t="s">
        <v>77</v>
      </c>
      <c r="C1338" s="31" t="n">
        <v>5</v>
      </c>
      <c r="D1338" s="31"/>
      <c r="E1338" s="31"/>
      <c r="F1338" s="26" t="n">
        <f aca="false">INT(A1338-4/24)</f>
        <v>46305</v>
      </c>
    </row>
    <row r="1339" customFormat="false" ht="15" hidden="false" customHeight="false" outlineLevel="0" collapsed="false">
      <c r="A1339" s="30" t="n">
        <v>46305.5861111111</v>
      </c>
      <c r="B1339" s="31" t="s">
        <v>80</v>
      </c>
      <c r="C1339" s="31"/>
      <c r="D1339" s="31"/>
      <c r="E1339" s="31"/>
      <c r="F1339" s="26" t="n">
        <f aca="false">INT(A1339-4/24)</f>
        <v>46305</v>
      </c>
    </row>
    <row r="1340" customFormat="false" ht="15" hidden="false" customHeight="false" outlineLevel="0" collapsed="false">
      <c r="A1340" s="30" t="n">
        <v>46305.6145833333</v>
      </c>
      <c r="B1340" s="31" t="s">
        <v>81</v>
      </c>
      <c r="C1340" s="31"/>
      <c r="D1340" s="31"/>
      <c r="E1340" s="31"/>
      <c r="F1340" s="26" t="n">
        <f aca="false">INT(A1340-4/24)</f>
        <v>46305</v>
      </c>
    </row>
    <row r="1341" customFormat="false" ht="15" hidden="false" customHeight="false" outlineLevel="0" collapsed="false">
      <c r="A1341" s="30" t="n">
        <v>46305.7048611111</v>
      </c>
      <c r="B1341" s="31" t="s">
        <v>80</v>
      </c>
      <c r="C1341" s="31"/>
      <c r="D1341" s="31"/>
      <c r="E1341" s="31"/>
      <c r="F1341" s="26" t="n">
        <f aca="false">INT(A1341-4/24)</f>
        <v>46305</v>
      </c>
    </row>
    <row r="1342" customFormat="false" ht="15" hidden="false" customHeight="false" outlineLevel="0" collapsed="false">
      <c r="A1342" s="30" t="n">
        <v>46305.7291666667</v>
      </c>
      <c r="B1342" s="31" t="s">
        <v>81</v>
      </c>
      <c r="C1342" s="31"/>
      <c r="D1342" s="31"/>
      <c r="E1342" s="31"/>
      <c r="F1342" s="26" t="n">
        <f aca="false">INT(A1342-4/24)</f>
        <v>46305</v>
      </c>
    </row>
    <row r="1343" customFormat="false" ht="15" hidden="false" customHeight="false" outlineLevel="0" collapsed="false">
      <c r="A1343" s="30" t="n">
        <v>46305.7361111111</v>
      </c>
      <c r="B1343" s="31" t="s">
        <v>74</v>
      </c>
      <c r="C1343" s="31"/>
      <c r="D1343" s="31" t="s">
        <v>82</v>
      </c>
      <c r="E1343" s="31"/>
      <c r="F1343" s="26" t="n">
        <f aca="false">INT(A1343-4/24)</f>
        <v>46305</v>
      </c>
    </row>
    <row r="1344" customFormat="false" ht="15" hidden="false" customHeight="false" outlineLevel="0" collapsed="false">
      <c r="A1344" s="30" t="n">
        <v>46305.7395833333</v>
      </c>
      <c r="B1344" s="31" t="s">
        <v>75</v>
      </c>
      <c r="C1344" s="31"/>
      <c r="D1344" s="31"/>
      <c r="E1344" s="31"/>
      <c r="F1344" s="26" t="n">
        <f aca="false">INT(A1344-4/24)</f>
        <v>46305</v>
      </c>
    </row>
    <row r="1345" customFormat="false" ht="15" hidden="false" customHeight="false" outlineLevel="0" collapsed="false">
      <c r="A1345" s="30" t="n">
        <v>46305.7395833333</v>
      </c>
      <c r="B1345" s="31" t="s">
        <v>77</v>
      </c>
      <c r="C1345" s="31" t="n">
        <v>5</v>
      </c>
      <c r="D1345" s="31"/>
      <c r="E1345" s="31"/>
      <c r="F1345" s="26" t="n">
        <f aca="false">INT(A1345-4/24)</f>
        <v>46305</v>
      </c>
    </row>
    <row r="1346" customFormat="false" ht="15" hidden="false" customHeight="false" outlineLevel="0" collapsed="false">
      <c r="A1346" s="30" t="n">
        <v>46305.7847222222</v>
      </c>
      <c r="B1346" s="31" t="s">
        <v>74</v>
      </c>
      <c r="C1346" s="31"/>
      <c r="D1346" s="31" t="s">
        <v>84</v>
      </c>
      <c r="E1346" s="31"/>
      <c r="F1346" s="26" t="n">
        <f aca="false">INT(A1346-4/24)</f>
        <v>46305</v>
      </c>
    </row>
    <row r="1347" customFormat="false" ht="15" hidden="false" customHeight="false" outlineLevel="0" collapsed="false">
      <c r="A1347" s="30" t="n">
        <v>46305.8368055556</v>
      </c>
      <c r="B1347" s="31" t="s">
        <v>80</v>
      </c>
      <c r="C1347" s="31"/>
      <c r="D1347" s="31"/>
      <c r="E1347" s="31"/>
      <c r="F1347" s="26" t="n">
        <f aca="false">INT(A1347-4/24)</f>
        <v>46305</v>
      </c>
    </row>
    <row r="1348" customFormat="false" ht="15" hidden="false" customHeight="false" outlineLevel="0" collapsed="false">
      <c r="A1348" s="30" t="n">
        <v>46305.8513888889</v>
      </c>
      <c r="B1348" s="31" t="s">
        <v>81</v>
      </c>
      <c r="C1348" s="31"/>
      <c r="D1348" s="31"/>
      <c r="E1348" s="31"/>
      <c r="F1348" s="26" t="n">
        <f aca="false">INT(A1348-4/24)</f>
        <v>46305</v>
      </c>
    </row>
    <row r="1349" customFormat="false" ht="15" hidden="false" customHeight="false" outlineLevel="0" collapsed="false">
      <c r="A1349" s="30" t="n">
        <v>46305.8875</v>
      </c>
      <c r="B1349" s="31" t="s">
        <v>77</v>
      </c>
      <c r="C1349" s="31" t="n">
        <v>5</v>
      </c>
      <c r="D1349" s="31"/>
      <c r="E1349" s="31"/>
      <c r="F1349" s="26" t="n">
        <f aca="false">INT(A1349-4/24)</f>
        <v>46305</v>
      </c>
    </row>
    <row r="1350" customFormat="false" ht="15" hidden="false" customHeight="false" outlineLevel="0" collapsed="false">
      <c r="A1350" s="30" t="n">
        <v>46305.9298611111</v>
      </c>
      <c r="B1350" s="31" t="s">
        <v>74</v>
      </c>
      <c r="C1350" s="31"/>
      <c r="D1350" s="31" t="s">
        <v>82</v>
      </c>
      <c r="E1350" s="31"/>
      <c r="F1350" s="26" t="n">
        <f aca="false">INT(A1350-4/24)</f>
        <v>46305</v>
      </c>
    </row>
    <row r="1351" customFormat="false" ht="15" hidden="false" customHeight="false" outlineLevel="0" collapsed="false">
      <c r="A1351" s="30" t="n">
        <v>46305.9444444445</v>
      </c>
      <c r="B1351" s="31" t="s">
        <v>74</v>
      </c>
      <c r="C1351" s="31"/>
      <c r="D1351" s="31" t="s">
        <v>82</v>
      </c>
      <c r="E1351" s="31"/>
      <c r="F1351" s="26" t="n">
        <f aca="false">INT(A1351-4/24)</f>
        <v>46305</v>
      </c>
    </row>
    <row r="1352" customFormat="false" ht="15" hidden="false" customHeight="false" outlineLevel="0" collapsed="false">
      <c r="A1352" s="30" t="n">
        <v>46305.9701388889</v>
      </c>
      <c r="B1352" s="31" t="s">
        <v>77</v>
      </c>
      <c r="C1352" s="31" t="n">
        <v>5</v>
      </c>
      <c r="D1352" s="31"/>
      <c r="E1352" s="31"/>
      <c r="F1352" s="26" t="n">
        <f aca="false">INT(A1352-4/24)</f>
        <v>46305</v>
      </c>
    </row>
    <row r="1353" customFormat="false" ht="15" hidden="false" customHeight="false" outlineLevel="0" collapsed="false">
      <c r="A1353" s="30" t="n">
        <v>46305.9756944445</v>
      </c>
      <c r="B1353" s="31" t="s">
        <v>80</v>
      </c>
      <c r="C1353" s="31"/>
      <c r="D1353" s="31"/>
      <c r="E1353" s="31"/>
      <c r="F1353" s="26" t="n">
        <f aca="false">INT(A1353-4/24)</f>
        <v>46305</v>
      </c>
    </row>
    <row r="1354" customFormat="false" ht="15" hidden="false" customHeight="false" outlineLevel="0" collapsed="false">
      <c r="A1354" s="30" t="n">
        <v>46306.0097222222</v>
      </c>
      <c r="B1354" s="31" t="s">
        <v>81</v>
      </c>
      <c r="C1354" s="31"/>
      <c r="D1354" s="31"/>
      <c r="E1354" s="31"/>
      <c r="F1354" s="26" t="n">
        <f aca="false">INT(A1354-4/24)</f>
        <v>46305</v>
      </c>
    </row>
    <row r="1355" customFormat="false" ht="15" hidden="false" customHeight="false" outlineLevel="0" collapsed="false">
      <c r="A1355" s="30" t="n">
        <v>46306.0104166667</v>
      </c>
      <c r="B1355" s="31" t="s">
        <v>75</v>
      </c>
      <c r="C1355" s="31"/>
      <c r="D1355" s="31"/>
      <c r="E1355" s="31"/>
      <c r="F1355" s="26" t="n">
        <f aca="false">INT(A1355-4/24)</f>
        <v>46305</v>
      </c>
    </row>
    <row r="1356" customFormat="false" ht="15" hidden="false" customHeight="false" outlineLevel="0" collapsed="false">
      <c r="A1356" s="30" t="n">
        <v>46306.0104166667</v>
      </c>
      <c r="B1356" s="31" t="s">
        <v>20</v>
      </c>
      <c r="C1356" s="31"/>
      <c r="D1356" s="31"/>
      <c r="E1356" s="31"/>
      <c r="F1356" s="26" t="n">
        <f aca="false">INT(A1356-4/24)</f>
        <v>46305</v>
      </c>
    </row>
    <row r="1357" customFormat="false" ht="15" hidden="false" customHeight="false" outlineLevel="0" collapsed="false">
      <c r="A1357" s="30" t="n">
        <v>46306.4118055556</v>
      </c>
      <c r="B1357" s="31" t="s">
        <v>79</v>
      </c>
      <c r="C1357" s="31"/>
      <c r="D1357" s="31"/>
      <c r="E1357" s="31"/>
      <c r="F1357" s="26" t="n">
        <f aca="false">INT(A1357-4/24)</f>
        <v>46306</v>
      </c>
    </row>
    <row r="1358" customFormat="false" ht="15" hidden="false" customHeight="false" outlineLevel="0" collapsed="false">
      <c r="A1358" s="30" t="n">
        <v>46306.4118055556</v>
      </c>
      <c r="B1358" s="31" t="s">
        <v>74</v>
      </c>
      <c r="C1358" s="31"/>
      <c r="D1358" s="31" t="s">
        <v>82</v>
      </c>
      <c r="E1358" s="31"/>
      <c r="F1358" s="26" t="n">
        <f aca="false">INT(A1358-4/24)</f>
        <v>46306</v>
      </c>
    </row>
    <row r="1359" customFormat="false" ht="15" hidden="false" customHeight="false" outlineLevel="0" collapsed="false">
      <c r="A1359" s="30" t="n">
        <v>46306.4145833333</v>
      </c>
      <c r="B1359" s="31" t="s">
        <v>75</v>
      </c>
      <c r="C1359" s="31"/>
      <c r="D1359" s="31"/>
      <c r="E1359" s="31"/>
      <c r="F1359" s="26" t="n">
        <f aca="false">INT(A1359-4/24)</f>
        <v>46306</v>
      </c>
    </row>
    <row r="1360" customFormat="false" ht="15" hidden="false" customHeight="false" outlineLevel="0" collapsed="false">
      <c r="A1360" s="30" t="n">
        <v>46306.4145833333</v>
      </c>
      <c r="B1360" s="31" t="s">
        <v>77</v>
      </c>
      <c r="C1360" s="31" t="n">
        <v>5</v>
      </c>
      <c r="D1360" s="31"/>
      <c r="E1360" s="31"/>
      <c r="F1360" s="26" t="n">
        <f aca="false">INT(A1360-4/24)</f>
        <v>46306</v>
      </c>
    </row>
    <row r="1361" customFormat="false" ht="15" hidden="false" customHeight="false" outlineLevel="0" collapsed="false">
      <c r="A1361" s="30" t="n">
        <v>46306.5194444444</v>
      </c>
      <c r="B1361" s="31" t="s">
        <v>80</v>
      </c>
      <c r="C1361" s="31"/>
      <c r="D1361" s="31"/>
      <c r="E1361" s="31"/>
      <c r="F1361" s="26" t="n">
        <f aca="false">INT(A1361-4/24)</f>
        <v>46306</v>
      </c>
    </row>
    <row r="1362" customFormat="false" ht="15" hidden="false" customHeight="false" outlineLevel="0" collapsed="false">
      <c r="A1362" s="30" t="n">
        <v>46306.53125</v>
      </c>
      <c r="B1362" s="31" t="s">
        <v>81</v>
      </c>
      <c r="C1362" s="31"/>
      <c r="D1362" s="31"/>
      <c r="E1362" s="31"/>
      <c r="F1362" s="26" t="n">
        <f aca="false">INT(A1362-4/24)</f>
        <v>46306</v>
      </c>
    </row>
    <row r="1363" customFormat="false" ht="15" hidden="false" customHeight="false" outlineLevel="0" collapsed="false">
      <c r="A1363" s="30" t="n">
        <v>46306.5451388889</v>
      </c>
      <c r="B1363" s="31" t="s">
        <v>77</v>
      </c>
      <c r="C1363" s="31" t="n">
        <v>5</v>
      </c>
      <c r="D1363" s="31"/>
      <c r="E1363" s="31"/>
      <c r="F1363" s="26" t="n">
        <f aca="false">INT(A1363-4/24)</f>
        <v>46306</v>
      </c>
    </row>
    <row r="1364" customFormat="false" ht="15" hidden="false" customHeight="false" outlineLevel="0" collapsed="false">
      <c r="A1364" s="30" t="n">
        <v>46306.6076388889</v>
      </c>
      <c r="B1364" s="31" t="s">
        <v>74</v>
      </c>
      <c r="C1364" s="31"/>
      <c r="D1364" s="31" t="s">
        <v>82</v>
      </c>
      <c r="E1364" s="31"/>
      <c r="F1364" s="26" t="n">
        <f aca="false">INT(A1364-4/24)</f>
        <v>46306</v>
      </c>
    </row>
    <row r="1365" customFormat="false" ht="15" hidden="false" customHeight="false" outlineLevel="0" collapsed="false">
      <c r="A1365" s="30" t="n">
        <v>46306.6173611111</v>
      </c>
      <c r="B1365" s="31" t="s">
        <v>80</v>
      </c>
      <c r="C1365" s="31"/>
      <c r="D1365" s="31"/>
      <c r="E1365" s="31"/>
      <c r="F1365" s="26" t="n">
        <f aca="false">INT(A1365-4/24)</f>
        <v>46306</v>
      </c>
    </row>
    <row r="1366" customFormat="false" ht="15" hidden="false" customHeight="false" outlineLevel="0" collapsed="false">
      <c r="A1366" s="30" t="n">
        <v>46306.6416666667</v>
      </c>
      <c r="B1366" s="31" t="s">
        <v>81</v>
      </c>
      <c r="C1366" s="31"/>
      <c r="D1366" s="31"/>
      <c r="E1366" s="31"/>
      <c r="F1366" s="26" t="n">
        <f aca="false">INT(A1366-4/24)</f>
        <v>46306</v>
      </c>
    </row>
    <row r="1367" customFormat="false" ht="15" hidden="false" customHeight="false" outlineLevel="0" collapsed="false">
      <c r="A1367" s="30" t="n">
        <v>46306.6777777778</v>
      </c>
      <c r="B1367" s="31" t="s">
        <v>75</v>
      </c>
      <c r="C1367" s="31"/>
      <c r="D1367" s="31"/>
      <c r="E1367" s="31"/>
      <c r="F1367" s="26" t="n">
        <f aca="false">INT(A1367-4/24)</f>
        <v>46306</v>
      </c>
    </row>
    <row r="1368" customFormat="false" ht="15" hidden="false" customHeight="false" outlineLevel="0" collapsed="false">
      <c r="A1368" s="30" t="n">
        <v>46306.6777777778</v>
      </c>
      <c r="B1368" s="31" t="s">
        <v>77</v>
      </c>
      <c r="C1368" s="31" t="n">
        <v>5</v>
      </c>
      <c r="D1368" s="31"/>
      <c r="E1368" s="31"/>
      <c r="F1368" s="26" t="n">
        <f aca="false">INT(A1368-4/24)</f>
        <v>46306</v>
      </c>
    </row>
    <row r="1369" customFormat="false" ht="15" hidden="false" customHeight="false" outlineLevel="0" collapsed="false">
      <c r="A1369" s="30" t="n">
        <v>46306.7618055556</v>
      </c>
      <c r="B1369" s="31" t="s">
        <v>74</v>
      </c>
      <c r="C1369" s="31"/>
      <c r="D1369" s="31" t="s">
        <v>84</v>
      </c>
      <c r="E1369" s="31"/>
      <c r="F1369" s="26" t="n">
        <f aca="false">INT(A1369-4/24)</f>
        <v>46306</v>
      </c>
    </row>
    <row r="1370" customFormat="false" ht="15" hidden="false" customHeight="false" outlineLevel="0" collapsed="false">
      <c r="A1370" s="30" t="n">
        <v>46306.7666666667</v>
      </c>
      <c r="B1370" s="31" t="s">
        <v>80</v>
      </c>
      <c r="C1370" s="31"/>
      <c r="D1370" s="31"/>
      <c r="E1370" s="31"/>
      <c r="F1370" s="26" t="n">
        <f aca="false">INT(A1370-4/24)</f>
        <v>46306</v>
      </c>
    </row>
    <row r="1371" customFormat="false" ht="15" hidden="false" customHeight="false" outlineLevel="0" collapsed="false">
      <c r="A1371" s="30" t="n">
        <v>46306.7854166667</v>
      </c>
      <c r="B1371" s="31" t="s">
        <v>81</v>
      </c>
      <c r="C1371" s="31"/>
      <c r="D1371" s="31"/>
      <c r="E1371" s="31"/>
      <c r="F1371" s="26" t="n">
        <f aca="false">INT(A1371-4/24)</f>
        <v>46306</v>
      </c>
    </row>
    <row r="1372" customFormat="false" ht="15" hidden="false" customHeight="false" outlineLevel="0" collapsed="false">
      <c r="A1372" s="30" t="n">
        <v>46306.80625</v>
      </c>
      <c r="B1372" s="31" t="s">
        <v>77</v>
      </c>
      <c r="C1372" s="31" t="n">
        <v>5</v>
      </c>
      <c r="D1372" s="31"/>
      <c r="E1372" s="31"/>
      <c r="F1372" s="26" t="n">
        <f aca="false">INT(A1372-4/24)</f>
        <v>46306</v>
      </c>
    </row>
    <row r="1373" customFormat="false" ht="15" hidden="false" customHeight="false" outlineLevel="0" collapsed="false">
      <c r="A1373" s="30" t="n">
        <v>46306.8958333333</v>
      </c>
      <c r="B1373" s="31" t="s">
        <v>80</v>
      </c>
      <c r="C1373" s="31"/>
      <c r="D1373" s="31"/>
      <c r="E1373" s="31"/>
      <c r="F1373" s="26" t="n">
        <f aca="false">INT(A1373-4/24)</f>
        <v>46306</v>
      </c>
    </row>
    <row r="1374" customFormat="false" ht="15" hidden="false" customHeight="false" outlineLevel="0" collapsed="false">
      <c r="A1374" s="30" t="n">
        <v>46306.9326388889</v>
      </c>
      <c r="B1374" s="31" t="s">
        <v>81</v>
      </c>
      <c r="C1374" s="31"/>
      <c r="D1374" s="31"/>
      <c r="E1374" s="31"/>
      <c r="F1374" s="26" t="n">
        <f aca="false">INT(A1374-4/24)</f>
        <v>46306</v>
      </c>
    </row>
    <row r="1375" customFormat="false" ht="15" hidden="false" customHeight="false" outlineLevel="0" collapsed="false">
      <c r="A1375" s="30" t="n">
        <v>46306.9326388889</v>
      </c>
      <c r="B1375" s="31" t="s">
        <v>74</v>
      </c>
      <c r="C1375" s="31"/>
      <c r="D1375" s="31" t="s">
        <v>82</v>
      </c>
      <c r="E1375" s="31"/>
      <c r="F1375" s="26" t="n">
        <f aca="false">INT(A1375-4/24)</f>
        <v>46306</v>
      </c>
    </row>
    <row r="1376" customFormat="false" ht="15" hidden="false" customHeight="false" outlineLevel="0" collapsed="false">
      <c r="A1376" s="30" t="n">
        <v>46306.9409722222</v>
      </c>
      <c r="B1376" s="31" t="s">
        <v>77</v>
      </c>
      <c r="C1376" s="31" t="n">
        <v>5</v>
      </c>
      <c r="D1376" s="31"/>
      <c r="E1376" s="31"/>
      <c r="F1376" s="26" t="n">
        <f aca="false">INT(A1376-4/24)</f>
        <v>46306</v>
      </c>
    </row>
    <row r="1377" customFormat="false" ht="15" hidden="false" customHeight="false" outlineLevel="0" collapsed="false">
      <c r="A1377" s="30" t="n">
        <v>46307.0222222222</v>
      </c>
      <c r="B1377" s="31" t="s">
        <v>74</v>
      </c>
      <c r="C1377" s="31"/>
      <c r="D1377" s="31" t="s">
        <v>82</v>
      </c>
      <c r="E1377" s="31"/>
      <c r="F1377" s="26" t="n">
        <f aca="false">INT(A1377-4/24)</f>
        <v>46306</v>
      </c>
    </row>
    <row r="1378" customFormat="false" ht="15" hidden="false" customHeight="false" outlineLevel="0" collapsed="false">
      <c r="A1378" s="30" t="n">
        <v>46307.025</v>
      </c>
      <c r="B1378" s="31" t="s">
        <v>75</v>
      </c>
      <c r="C1378" s="31"/>
      <c r="D1378" s="31"/>
      <c r="E1378" s="31"/>
      <c r="F1378" s="26" t="n">
        <f aca="false">INT(A1378-4/24)</f>
        <v>46306</v>
      </c>
    </row>
    <row r="1379" customFormat="false" ht="15" hidden="false" customHeight="false" outlineLevel="0" collapsed="false">
      <c r="A1379" s="30" t="n">
        <v>46307.025</v>
      </c>
      <c r="B1379" s="31" t="s">
        <v>77</v>
      </c>
      <c r="C1379" s="31" t="n">
        <v>5</v>
      </c>
      <c r="D1379" s="31"/>
      <c r="E1379" s="31"/>
      <c r="F1379" s="26" t="n">
        <f aca="false">INT(A1379-4/24)</f>
        <v>46306</v>
      </c>
    </row>
    <row r="1380" customFormat="false" ht="15" hidden="false" customHeight="false" outlineLevel="0" collapsed="false">
      <c r="A1380" s="30" t="n">
        <v>46307.0326388889</v>
      </c>
      <c r="B1380" s="31" t="s">
        <v>80</v>
      </c>
      <c r="C1380" s="31"/>
      <c r="D1380" s="31"/>
      <c r="E1380" s="31"/>
      <c r="F1380" s="26" t="n">
        <f aca="false">INT(A1380-4/24)</f>
        <v>46306</v>
      </c>
    </row>
    <row r="1381" customFormat="false" ht="15" hidden="false" customHeight="false" outlineLevel="0" collapsed="false">
      <c r="A1381" s="30" t="n">
        <v>46307.0583333333</v>
      </c>
      <c r="B1381" s="31" t="s">
        <v>81</v>
      </c>
      <c r="C1381" s="31"/>
      <c r="D1381" s="31"/>
      <c r="E1381" s="31"/>
      <c r="F1381" s="26" t="n">
        <f aca="false">INT(A1381-4/24)</f>
        <v>46306</v>
      </c>
    </row>
    <row r="1382" customFormat="false" ht="15" hidden="false" customHeight="false" outlineLevel="0" collapsed="false">
      <c r="A1382" s="30" t="n">
        <v>46307.0583333333</v>
      </c>
      <c r="B1382" s="31" t="s">
        <v>20</v>
      </c>
      <c r="C1382" s="31"/>
      <c r="D1382" s="31"/>
      <c r="E1382" s="31"/>
      <c r="F1382" s="26" t="n">
        <f aca="false">INT(A1382-4/24)</f>
        <v>46306</v>
      </c>
    </row>
    <row r="1383" customFormat="false" ht="15" hidden="false" customHeight="false" outlineLevel="0" collapsed="false">
      <c r="A1383" s="30" t="n">
        <v>46307.3652777778</v>
      </c>
      <c r="B1383" s="31" t="s">
        <v>79</v>
      </c>
      <c r="C1383" s="31"/>
      <c r="D1383" s="31"/>
      <c r="E1383" s="31"/>
      <c r="F1383" s="26" t="n">
        <f aca="false">INT(A1383-4/24)</f>
        <v>46307</v>
      </c>
    </row>
    <row r="1384" customFormat="false" ht="15" hidden="false" customHeight="false" outlineLevel="0" collapsed="false">
      <c r="A1384" s="30" t="n">
        <v>46307.3763888889</v>
      </c>
      <c r="B1384" s="31" t="s">
        <v>74</v>
      </c>
      <c r="C1384" s="31"/>
      <c r="D1384" s="31" t="s">
        <v>82</v>
      </c>
      <c r="E1384" s="31"/>
      <c r="F1384" s="26" t="n">
        <f aca="false">INT(A1384-4/24)</f>
        <v>46307</v>
      </c>
    </row>
    <row r="1385" customFormat="false" ht="15" hidden="false" customHeight="false" outlineLevel="0" collapsed="false">
      <c r="A1385" s="30" t="n">
        <v>46307.3784722222</v>
      </c>
      <c r="B1385" s="31" t="s">
        <v>75</v>
      </c>
      <c r="C1385" s="31"/>
      <c r="D1385" s="31"/>
      <c r="E1385" s="31"/>
      <c r="F1385" s="26" t="n">
        <f aca="false">INT(A1385-4/24)</f>
        <v>46307</v>
      </c>
    </row>
    <row r="1386" customFormat="false" ht="15" hidden="false" customHeight="false" outlineLevel="0" collapsed="false">
      <c r="A1386" s="30" t="n">
        <v>46307.3784722222</v>
      </c>
      <c r="B1386" s="31" t="s">
        <v>77</v>
      </c>
      <c r="C1386" s="31" t="n">
        <v>6</v>
      </c>
      <c r="D1386" s="31"/>
      <c r="E1386" s="31"/>
      <c r="F1386" s="26" t="n">
        <f aca="false">INT(A1386-4/24)</f>
        <v>46307</v>
      </c>
    </row>
    <row r="1387" customFormat="false" ht="15" hidden="false" customHeight="false" outlineLevel="0" collapsed="false">
      <c r="A1387" s="30" t="n">
        <v>46307.4583333333</v>
      </c>
      <c r="B1387" s="31" t="s">
        <v>80</v>
      </c>
      <c r="C1387" s="31"/>
      <c r="D1387" s="31"/>
      <c r="E1387" s="31"/>
      <c r="F1387" s="26" t="n">
        <f aca="false">INT(A1387-4/24)</f>
        <v>46307</v>
      </c>
    </row>
    <row r="1388" customFormat="false" ht="15" hidden="false" customHeight="false" outlineLevel="0" collapsed="false">
      <c r="A1388" s="30" t="n">
        <v>46307.5069444445</v>
      </c>
      <c r="B1388" s="31" t="s">
        <v>81</v>
      </c>
      <c r="C1388" s="31"/>
      <c r="D1388" s="31"/>
      <c r="E1388" s="31"/>
      <c r="F1388" s="26" t="n">
        <f aca="false">INT(A1388-4/24)</f>
        <v>46307</v>
      </c>
    </row>
    <row r="1389" customFormat="false" ht="15" hidden="false" customHeight="false" outlineLevel="0" collapsed="false">
      <c r="A1389" s="30" t="n">
        <v>46307.5166666667</v>
      </c>
      <c r="B1389" s="31" t="s">
        <v>77</v>
      </c>
      <c r="C1389" s="31" t="n">
        <v>5</v>
      </c>
      <c r="D1389" s="31"/>
      <c r="E1389" s="31"/>
      <c r="F1389" s="26" t="n">
        <f aca="false">INT(A1389-4/24)</f>
        <v>46307</v>
      </c>
    </row>
    <row r="1390" customFormat="false" ht="15" hidden="false" customHeight="false" outlineLevel="0" collapsed="false">
      <c r="A1390" s="30" t="n">
        <v>46307.53125</v>
      </c>
      <c r="B1390" s="31" t="s">
        <v>74</v>
      </c>
      <c r="C1390" s="31"/>
      <c r="D1390" s="31" t="s">
        <v>82</v>
      </c>
      <c r="E1390" s="31"/>
      <c r="F1390" s="26" t="n">
        <f aca="false">INT(A1390-4/24)</f>
        <v>46307</v>
      </c>
    </row>
    <row r="1391" customFormat="false" ht="15" hidden="false" customHeight="false" outlineLevel="0" collapsed="false">
      <c r="A1391" s="30" t="n">
        <v>46307.6243055556</v>
      </c>
      <c r="B1391" s="31" t="s">
        <v>77</v>
      </c>
      <c r="C1391" s="31" t="n">
        <v>5</v>
      </c>
      <c r="D1391" s="31"/>
      <c r="E1391" s="31"/>
      <c r="F1391" s="26" t="n">
        <f aca="false">INT(A1391-4/24)</f>
        <v>46307</v>
      </c>
    </row>
    <row r="1392" customFormat="false" ht="15" hidden="false" customHeight="false" outlineLevel="0" collapsed="false">
      <c r="A1392" s="30" t="n">
        <v>46307.6736111111</v>
      </c>
      <c r="B1392" s="31" t="s">
        <v>74</v>
      </c>
      <c r="C1392" s="31"/>
      <c r="D1392" s="31" t="s">
        <v>82</v>
      </c>
      <c r="E1392" s="31"/>
      <c r="F1392" s="26" t="n">
        <f aca="false">INT(A1392-4/24)</f>
        <v>46307</v>
      </c>
    </row>
    <row r="1393" customFormat="false" ht="15" hidden="false" customHeight="false" outlineLevel="0" collapsed="false">
      <c r="A1393" s="30" t="n">
        <v>46307.6923611111</v>
      </c>
      <c r="B1393" s="31" t="s">
        <v>75</v>
      </c>
      <c r="C1393" s="31"/>
      <c r="D1393" s="31"/>
      <c r="E1393" s="31"/>
      <c r="F1393" s="26" t="n">
        <f aca="false">INT(A1393-4/24)</f>
        <v>46307</v>
      </c>
    </row>
    <row r="1394" customFormat="false" ht="15" hidden="false" customHeight="false" outlineLevel="0" collapsed="false">
      <c r="A1394" s="30" t="n">
        <v>46307.69375</v>
      </c>
      <c r="B1394" s="31" t="s">
        <v>80</v>
      </c>
      <c r="C1394" s="31"/>
      <c r="D1394" s="31"/>
      <c r="E1394" s="31"/>
      <c r="F1394" s="26" t="n">
        <f aca="false">INT(A1394-4/24)</f>
        <v>46307</v>
      </c>
    </row>
    <row r="1395" customFormat="false" ht="15" hidden="false" customHeight="false" outlineLevel="0" collapsed="false">
      <c r="A1395" s="30" t="n">
        <v>46307.75</v>
      </c>
      <c r="B1395" s="31" t="s">
        <v>81</v>
      </c>
      <c r="C1395" s="31"/>
      <c r="D1395" s="31"/>
      <c r="E1395" s="31"/>
      <c r="F1395" s="26" t="n">
        <f aca="false">INT(A1395-4/24)</f>
        <v>46307</v>
      </c>
    </row>
    <row r="1396" customFormat="false" ht="15" hidden="false" customHeight="false" outlineLevel="0" collapsed="false">
      <c r="A1396" s="30" t="n">
        <v>46307.7666666667</v>
      </c>
      <c r="B1396" s="31" t="s">
        <v>77</v>
      </c>
      <c r="C1396" s="31" t="n">
        <v>5</v>
      </c>
      <c r="D1396" s="31"/>
      <c r="E1396" s="31"/>
      <c r="F1396" s="26" t="n">
        <f aca="false">INT(A1396-4/24)</f>
        <v>46307</v>
      </c>
    </row>
    <row r="1397" customFormat="false" ht="15" hidden="false" customHeight="false" outlineLevel="0" collapsed="false">
      <c r="A1397" s="30" t="n">
        <v>46307.8534722222</v>
      </c>
      <c r="B1397" s="31" t="s">
        <v>74</v>
      </c>
      <c r="C1397" s="31"/>
      <c r="D1397" s="31" t="s">
        <v>82</v>
      </c>
      <c r="E1397" s="31"/>
      <c r="F1397" s="26" t="n">
        <f aca="false">INT(A1397-4/24)</f>
        <v>46307</v>
      </c>
    </row>
    <row r="1398" customFormat="false" ht="15" hidden="false" customHeight="false" outlineLevel="0" collapsed="false">
      <c r="A1398" s="30" t="n">
        <v>46307.88125</v>
      </c>
      <c r="B1398" s="31" t="s">
        <v>77</v>
      </c>
      <c r="C1398" s="31" t="n">
        <v>5</v>
      </c>
      <c r="D1398" s="31"/>
      <c r="E1398" s="31"/>
      <c r="F1398" s="26" t="n">
        <f aca="false">INT(A1398-4/24)</f>
        <v>46307</v>
      </c>
    </row>
    <row r="1399" customFormat="false" ht="15" hidden="false" customHeight="false" outlineLevel="0" collapsed="false">
      <c r="A1399" s="30" t="n">
        <v>46307.9326388889</v>
      </c>
      <c r="B1399" s="31" t="s">
        <v>80</v>
      </c>
      <c r="C1399" s="31"/>
      <c r="D1399" s="31"/>
      <c r="E1399" s="31"/>
      <c r="F1399" s="26" t="n">
        <f aca="false">INT(A1399-4/24)</f>
        <v>46307</v>
      </c>
    </row>
    <row r="1400" customFormat="false" ht="15" hidden="false" customHeight="false" outlineLevel="0" collapsed="false">
      <c r="A1400" s="30" t="n">
        <v>46307.9659722222</v>
      </c>
      <c r="B1400" s="31" t="s">
        <v>81</v>
      </c>
      <c r="C1400" s="31"/>
      <c r="D1400" s="31"/>
      <c r="E1400" s="31"/>
      <c r="F1400" s="26" t="n">
        <f aca="false">INT(A1400-4/24)</f>
        <v>46307</v>
      </c>
    </row>
    <row r="1401" customFormat="false" ht="15" hidden="false" customHeight="false" outlineLevel="0" collapsed="false">
      <c r="A1401" s="30" t="n">
        <v>46307.9888888889</v>
      </c>
      <c r="B1401" s="31" t="s">
        <v>74</v>
      </c>
      <c r="C1401" s="31"/>
      <c r="D1401" s="31" t="s">
        <v>82</v>
      </c>
      <c r="E1401" s="31"/>
      <c r="F1401" s="26" t="n">
        <f aca="false">INT(A1401-4/24)</f>
        <v>46307</v>
      </c>
    </row>
    <row r="1402" customFormat="false" ht="15" hidden="false" customHeight="false" outlineLevel="0" collapsed="false">
      <c r="A1402" s="30" t="n">
        <v>46307.9986111111</v>
      </c>
      <c r="B1402" s="31" t="s">
        <v>75</v>
      </c>
      <c r="C1402" s="31"/>
      <c r="D1402" s="31"/>
      <c r="E1402" s="31"/>
      <c r="F1402" s="26" t="n">
        <f aca="false">INT(A1402-4/24)</f>
        <v>46307</v>
      </c>
    </row>
    <row r="1403" customFormat="false" ht="15" hidden="false" customHeight="false" outlineLevel="0" collapsed="false">
      <c r="A1403" s="30" t="n">
        <v>46307.9986111111</v>
      </c>
      <c r="B1403" s="31" t="s">
        <v>77</v>
      </c>
      <c r="C1403" s="31" t="n">
        <v>5</v>
      </c>
      <c r="D1403" s="31"/>
      <c r="E1403" s="31"/>
      <c r="F1403" s="26" t="n">
        <f aca="false">INT(A1403-4/24)</f>
        <v>46307</v>
      </c>
    </row>
    <row r="1404" customFormat="false" ht="15" hidden="false" customHeight="false" outlineLevel="0" collapsed="false">
      <c r="A1404" s="30" t="n">
        <v>46308.0263888889</v>
      </c>
      <c r="B1404" s="31" t="s">
        <v>74</v>
      </c>
      <c r="C1404" s="31"/>
      <c r="D1404" s="31" t="s">
        <v>84</v>
      </c>
      <c r="E1404" s="31"/>
      <c r="F1404" s="26" t="n">
        <f aca="false">INT(A1404-4/24)</f>
        <v>46307</v>
      </c>
    </row>
    <row r="1405" customFormat="false" ht="15" hidden="false" customHeight="false" outlineLevel="0" collapsed="false">
      <c r="A1405" s="30" t="n">
        <v>46308.0763888889</v>
      </c>
      <c r="B1405" s="31" t="s">
        <v>20</v>
      </c>
      <c r="C1405" s="31"/>
      <c r="D1405" s="31"/>
      <c r="E1405" s="31"/>
      <c r="F1405" s="26" t="n">
        <f aca="false">INT(A1405-4/24)</f>
        <v>46307</v>
      </c>
    </row>
    <row r="1406" customFormat="false" ht="15" hidden="false" customHeight="false" outlineLevel="0" collapsed="false">
      <c r="A1406" s="30" t="n">
        <v>46308.3541666667</v>
      </c>
      <c r="B1406" s="31" t="s">
        <v>79</v>
      </c>
      <c r="C1406" s="31"/>
      <c r="D1406" s="31"/>
      <c r="E1406" s="31"/>
      <c r="F1406" s="26" t="n">
        <f aca="false">INT(A1406-4/24)</f>
        <v>46308</v>
      </c>
    </row>
    <row r="1407" customFormat="false" ht="15" hidden="false" customHeight="false" outlineLevel="0" collapsed="false">
      <c r="A1407" s="30" t="n">
        <v>46308.3645833333</v>
      </c>
      <c r="B1407" s="31" t="s">
        <v>74</v>
      </c>
      <c r="C1407" s="31"/>
      <c r="D1407" s="31" t="s">
        <v>82</v>
      </c>
      <c r="E1407" s="31"/>
      <c r="F1407" s="26" t="n">
        <f aca="false">INT(A1407-4/24)</f>
        <v>46308</v>
      </c>
    </row>
    <row r="1408" customFormat="false" ht="15" hidden="false" customHeight="false" outlineLevel="0" collapsed="false">
      <c r="A1408" s="30" t="n">
        <v>46308.36875</v>
      </c>
      <c r="B1408" s="31" t="s">
        <v>75</v>
      </c>
      <c r="C1408" s="31"/>
      <c r="D1408" s="31"/>
      <c r="E1408" s="31"/>
      <c r="F1408" s="26" t="n">
        <f aca="false">INT(A1408-4/24)</f>
        <v>46308</v>
      </c>
    </row>
    <row r="1409" customFormat="false" ht="15" hidden="false" customHeight="false" outlineLevel="0" collapsed="false">
      <c r="A1409" s="30" t="n">
        <v>46308.3694444444</v>
      </c>
      <c r="B1409" s="31" t="s">
        <v>77</v>
      </c>
      <c r="C1409" s="31" t="n">
        <v>5</v>
      </c>
      <c r="D1409" s="31"/>
      <c r="E1409" s="31"/>
      <c r="F1409" s="26" t="n">
        <f aca="false">INT(A1409-4/24)</f>
        <v>46308</v>
      </c>
    </row>
    <row r="1410" customFormat="false" ht="15" hidden="false" customHeight="false" outlineLevel="0" collapsed="false">
      <c r="A1410" s="30" t="n">
        <v>46308.4006944444</v>
      </c>
      <c r="B1410" s="31" t="s">
        <v>80</v>
      </c>
      <c r="C1410" s="31"/>
      <c r="D1410" s="31"/>
      <c r="E1410" s="31"/>
      <c r="F1410" s="26" t="n">
        <f aca="false">INT(A1410-4/24)</f>
        <v>46308</v>
      </c>
    </row>
    <row r="1411" customFormat="false" ht="15" hidden="false" customHeight="false" outlineLevel="0" collapsed="false">
      <c r="A1411" s="30" t="n">
        <v>46308.4201388889</v>
      </c>
      <c r="B1411" s="31" t="s">
        <v>81</v>
      </c>
      <c r="C1411" s="31"/>
      <c r="D1411" s="31"/>
      <c r="E1411" s="31"/>
      <c r="F1411" s="26" t="n">
        <f aca="false">INT(A1411-4/24)</f>
        <v>46308</v>
      </c>
    </row>
    <row r="1412" customFormat="false" ht="15" hidden="false" customHeight="false" outlineLevel="0" collapsed="false">
      <c r="A1412" s="30" t="n">
        <v>46308.4618055556</v>
      </c>
      <c r="B1412" s="31" t="s">
        <v>80</v>
      </c>
      <c r="C1412" s="31"/>
      <c r="D1412" s="31"/>
      <c r="E1412" s="31"/>
      <c r="F1412" s="26" t="n">
        <f aca="false">INT(A1412-4/24)</f>
        <v>46308</v>
      </c>
    </row>
    <row r="1413" customFormat="false" ht="15" hidden="false" customHeight="false" outlineLevel="0" collapsed="false">
      <c r="A1413" s="30" t="n">
        <v>46308.4791666667</v>
      </c>
      <c r="B1413" s="31" t="s">
        <v>81</v>
      </c>
      <c r="C1413" s="31"/>
      <c r="D1413" s="31"/>
      <c r="E1413" s="31"/>
      <c r="F1413" s="26" t="n">
        <f aca="false">INT(A1413-4/24)</f>
        <v>46308</v>
      </c>
    </row>
    <row r="1414" customFormat="false" ht="15" hidden="false" customHeight="false" outlineLevel="0" collapsed="false">
      <c r="A1414" s="30" t="n">
        <v>46308.4972222222</v>
      </c>
      <c r="B1414" s="31" t="s">
        <v>77</v>
      </c>
      <c r="C1414" s="31" t="n">
        <v>5</v>
      </c>
      <c r="D1414" s="31"/>
      <c r="E1414" s="31"/>
      <c r="F1414" s="26" t="n">
        <f aca="false">INT(A1414-4/24)</f>
        <v>46308</v>
      </c>
    </row>
    <row r="1415" customFormat="false" ht="15" hidden="false" customHeight="false" outlineLevel="0" collapsed="false">
      <c r="A1415" s="30" t="n">
        <v>46308.53125</v>
      </c>
      <c r="B1415" s="31" t="s">
        <v>74</v>
      </c>
      <c r="C1415" s="31"/>
      <c r="D1415" s="31" t="s">
        <v>82</v>
      </c>
      <c r="E1415" s="31"/>
      <c r="F1415" s="26" t="n">
        <f aca="false">INT(A1415-4/24)</f>
        <v>46308</v>
      </c>
    </row>
    <row r="1416" customFormat="false" ht="15" hidden="false" customHeight="false" outlineLevel="0" collapsed="false">
      <c r="A1416" s="30" t="n">
        <v>46308.6201388889</v>
      </c>
      <c r="B1416" s="31" t="s">
        <v>77</v>
      </c>
      <c r="C1416" s="31" t="n">
        <v>5</v>
      </c>
      <c r="D1416" s="31"/>
      <c r="E1416" s="31"/>
      <c r="F1416" s="26" t="n">
        <f aca="false">INT(A1416-4/24)</f>
        <v>46308</v>
      </c>
    </row>
    <row r="1417" customFormat="false" ht="15" hidden="false" customHeight="false" outlineLevel="0" collapsed="false">
      <c r="A1417" s="30" t="n">
        <v>46308.6423611111</v>
      </c>
      <c r="B1417" s="31" t="s">
        <v>74</v>
      </c>
      <c r="C1417" s="31"/>
      <c r="D1417" s="31" t="s">
        <v>82</v>
      </c>
      <c r="E1417" s="31"/>
      <c r="F1417" s="26" t="n">
        <f aca="false">INT(A1417-4/24)</f>
        <v>46308</v>
      </c>
    </row>
    <row r="1418" customFormat="false" ht="15" hidden="false" customHeight="false" outlineLevel="0" collapsed="false">
      <c r="A1418" s="30" t="n">
        <v>46308.7083333333</v>
      </c>
      <c r="B1418" s="31" t="s">
        <v>80</v>
      </c>
      <c r="C1418" s="31"/>
      <c r="D1418" s="31"/>
      <c r="E1418" s="31"/>
      <c r="F1418" s="26" t="n">
        <f aca="false">INT(A1418-4/24)</f>
        <v>46308</v>
      </c>
    </row>
    <row r="1419" customFormat="false" ht="15" hidden="false" customHeight="false" outlineLevel="0" collapsed="false">
      <c r="A1419" s="30" t="n">
        <v>46308.7291666667</v>
      </c>
      <c r="B1419" s="31" t="s">
        <v>81</v>
      </c>
      <c r="C1419" s="31"/>
      <c r="D1419" s="31"/>
      <c r="E1419" s="31"/>
      <c r="F1419" s="26" t="n">
        <f aca="false">INT(A1419-4/24)</f>
        <v>46308</v>
      </c>
    </row>
    <row r="1420" customFormat="false" ht="15" hidden="false" customHeight="false" outlineLevel="0" collapsed="false">
      <c r="A1420" s="30" t="n">
        <v>46308.7465277778</v>
      </c>
      <c r="B1420" s="31" t="s">
        <v>75</v>
      </c>
      <c r="C1420" s="31"/>
      <c r="D1420" s="31"/>
      <c r="E1420" s="31"/>
      <c r="F1420" s="26" t="n">
        <f aca="false">INT(A1420-4/24)</f>
        <v>46308</v>
      </c>
    </row>
    <row r="1421" customFormat="false" ht="15" hidden="false" customHeight="false" outlineLevel="0" collapsed="false">
      <c r="A1421" s="30" t="n">
        <v>46308.7472222222</v>
      </c>
      <c r="B1421" s="31" t="s">
        <v>77</v>
      </c>
      <c r="C1421" s="31" t="n">
        <v>5</v>
      </c>
      <c r="D1421" s="31"/>
      <c r="E1421" s="31"/>
      <c r="F1421" s="26" t="n">
        <f aca="false">INT(A1421-4/24)</f>
        <v>46308</v>
      </c>
    </row>
    <row r="1422" customFormat="false" ht="15" hidden="false" customHeight="false" outlineLevel="0" collapsed="false">
      <c r="A1422" s="30" t="n">
        <v>46308.7569444445</v>
      </c>
      <c r="B1422" s="31" t="s">
        <v>80</v>
      </c>
      <c r="C1422" s="31"/>
      <c r="D1422" s="31"/>
      <c r="E1422" s="31"/>
      <c r="F1422" s="26" t="n">
        <f aca="false">INT(A1422-4/24)</f>
        <v>46308</v>
      </c>
    </row>
    <row r="1423" customFormat="false" ht="15" hidden="false" customHeight="false" outlineLevel="0" collapsed="false">
      <c r="A1423" s="30" t="n">
        <v>46308.7881944445</v>
      </c>
      <c r="B1423" s="31" t="s">
        <v>81</v>
      </c>
      <c r="C1423" s="31"/>
      <c r="D1423" s="31"/>
      <c r="E1423" s="31"/>
      <c r="F1423" s="26" t="n">
        <f aca="false">INT(A1423-4/24)</f>
        <v>46308</v>
      </c>
    </row>
    <row r="1424" customFormat="false" ht="15" hidden="false" customHeight="false" outlineLevel="0" collapsed="false">
      <c r="A1424" s="30" t="n">
        <v>46308.8784722222</v>
      </c>
      <c r="B1424" s="31" t="s">
        <v>74</v>
      </c>
      <c r="C1424" s="31"/>
      <c r="D1424" s="31" t="s">
        <v>82</v>
      </c>
      <c r="E1424" s="31"/>
      <c r="F1424" s="26" t="n">
        <f aca="false">INT(A1424-4/24)</f>
        <v>46308</v>
      </c>
    </row>
    <row r="1425" customFormat="false" ht="15" hidden="false" customHeight="false" outlineLevel="0" collapsed="false">
      <c r="A1425" s="30" t="n">
        <v>46308.8951388889</v>
      </c>
      <c r="B1425" s="31" t="s">
        <v>77</v>
      </c>
      <c r="C1425" s="31" t="n">
        <v>5</v>
      </c>
      <c r="D1425" s="31"/>
      <c r="E1425" s="31"/>
      <c r="F1425" s="26" t="n">
        <f aca="false">INT(A1425-4/24)</f>
        <v>46308</v>
      </c>
    </row>
    <row r="1426" customFormat="false" ht="15" hidden="false" customHeight="false" outlineLevel="0" collapsed="false">
      <c r="A1426" s="30" t="n">
        <v>46308.9791666667</v>
      </c>
      <c r="B1426" s="31" t="s">
        <v>74</v>
      </c>
      <c r="C1426" s="31"/>
      <c r="D1426" s="31" t="s">
        <v>84</v>
      </c>
      <c r="E1426" s="31"/>
      <c r="F1426" s="26" t="n">
        <f aca="false">INT(A1426-4/24)</f>
        <v>46308</v>
      </c>
    </row>
    <row r="1427" customFormat="false" ht="15" hidden="false" customHeight="false" outlineLevel="0" collapsed="false">
      <c r="A1427" s="30" t="n">
        <v>46308.9895833333</v>
      </c>
      <c r="B1427" s="31" t="s">
        <v>77</v>
      </c>
      <c r="C1427" s="31" t="n">
        <v>5</v>
      </c>
      <c r="D1427" s="31"/>
      <c r="E1427" s="31"/>
      <c r="F1427" s="26" t="n">
        <f aca="false">INT(A1427-4/24)</f>
        <v>46308</v>
      </c>
    </row>
    <row r="1428" customFormat="false" ht="15" hidden="false" customHeight="false" outlineLevel="0" collapsed="false">
      <c r="A1428" s="30" t="n">
        <v>46308.9965277778</v>
      </c>
      <c r="B1428" s="31" t="s">
        <v>80</v>
      </c>
      <c r="C1428" s="31"/>
      <c r="D1428" s="31"/>
      <c r="E1428" s="31"/>
      <c r="F1428" s="26" t="n">
        <f aca="false">INT(A1428-4/24)</f>
        <v>46308</v>
      </c>
    </row>
    <row r="1429" customFormat="false" ht="15" hidden="false" customHeight="false" outlineLevel="0" collapsed="false">
      <c r="A1429" s="30" t="n">
        <v>46309.0243055556</v>
      </c>
      <c r="B1429" s="31" t="s">
        <v>81</v>
      </c>
      <c r="C1429" s="31"/>
      <c r="D1429" s="31"/>
      <c r="E1429" s="31"/>
      <c r="F1429" s="26" t="n">
        <f aca="false">INT(A1429-4/24)</f>
        <v>46308</v>
      </c>
    </row>
    <row r="1430" customFormat="false" ht="15" hidden="false" customHeight="false" outlineLevel="0" collapsed="false">
      <c r="A1430" s="30" t="n">
        <v>46309.0243055556</v>
      </c>
      <c r="B1430" s="31" t="s">
        <v>20</v>
      </c>
      <c r="C1430" s="31"/>
      <c r="D1430" s="31"/>
      <c r="E1430" s="31"/>
      <c r="F1430" s="26" t="n">
        <f aca="false">INT(A1430-4/24)</f>
        <v>46308</v>
      </c>
    </row>
    <row r="1431" customFormat="false" ht="15" hidden="false" customHeight="false" outlineLevel="0" collapsed="false">
      <c r="A1431" s="30" t="n">
        <v>46309.2673611111</v>
      </c>
      <c r="B1431" s="31" t="s">
        <v>79</v>
      </c>
      <c r="C1431" s="31"/>
      <c r="D1431" s="31"/>
      <c r="E1431" s="31"/>
      <c r="F1431" s="26" t="n">
        <f aca="false">INT(A1431-4/24)</f>
        <v>46309</v>
      </c>
    </row>
    <row r="1432" customFormat="false" ht="15" hidden="false" customHeight="false" outlineLevel="0" collapsed="false">
      <c r="A1432" s="30" t="n">
        <v>46309.2673611111</v>
      </c>
      <c r="B1432" s="31" t="s">
        <v>74</v>
      </c>
      <c r="C1432" s="31"/>
      <c r="D1432" s="31" t="s">
        <v>82</v>
      </c>
      <c r="E1432" s="31"/>
      <c r="F1432" s="26" t="n">
        <f aca="false">INT(A1432-4/24)</f>
        <v>46309</v>
      </c>
    </row>
    <row r="1433" customFormat="false" ht="15" hidden="false" customHeight="false" outlineLevel="0" collapsed="false">
      <c r="A1433" s="30" t="n">
        <v>46309.2673611111</v>
      </c>
      <c r="B1433" s="31" t="s">
        <v>77</v>
      </c>
      <c r="C1433" s="31" t="n">
        <v>5</v>
      </c>
      <c r="D1433" s="31"/>
      <c r="E1433" s="31"/>
      <c r="F1433" s="26" t="n">
        <f aca="false">INT(A1433-4/24)</f>
        <v>46309</v>
      </c>
    </row>
    <row r="1434" customFormat="false" ht="15" hidden="false" customHeight="false" outlineLevel="0" collapsed="false">
      <c r="A1434" s="30" t="n">
        <v>46309.3333333333</v>
      </c>
      <c r="B1434" s="31" t="s">
        <v>75</v>
      </c>
      <c r="C1434" s="31"/>
      <c r="D1434" s="31"/>
      <c r="E1434" s="31"/>
      <c r="F1434" s="26" t="n">
        <f aca="false">INT(A1434-4/24)</f>
        <v>46309</v>
      </c>
    </row>
    <row r="1435" customFormat="false" ht="15" hidden="false" customHeight="false" outlineLevel="0" collapsed="false">
      <c r="A1435" s="30" t="n">
        <v>46309.40625</v>
      </c>
      <c r="B1435" s="31" t="s">
        <v>74</v>
      </c>
      <c r="C1435" s="31"/>
      <c r="D1435" s="31" t="s">
        <v>82</v>
      </c>
      <c r="E1435" s="31"/>
      <c r="F1435" s="26" t="n">
        <f aca="false">INT(A1435-4/24)</f>
        <v>46309</v>
      </c>
    </row>
    <row r="1436" customFormat="false" ht="15" hidden="false" customHeight="false" outlineLevel="0" collapsed="false">
      <c r="A1436" s="30" t="n">
        <v>46309.4270833333</v>
      </c>
      <c r="B1436" s="31" t="s">
        <v>80</v>
      </c>
      <c r="C1436" s="31"/>
      <c r="D1436" s="31"/>
      <c r="E1436" s="31"/>
      <c r="F1436" s="26" t="n">
        <f aca="false">INT(A1436-4/24)</f>
        <v>46309</v>
      </c>
    </row>
    <row r="1437" customFormat="false" ht="15" hidden="false" customHeight="false" outlineLevel="0" collapsed="false">
      <c r="A1437" s="30" t="n">
        <v>46309.4826388889</v>
      </c>
      <c r="B1437" s="31" t="s">
        <v>81</v>
      </c>
      <c r="C1437" s="31"/>
      <c r="D1437" s="31"/>
      <c r="E1437" s="31"/>
      <c r="F1437" s="26" t="n">
        <f aca="false">INT(A1437-4/24)</f>
        <v>46309</v>
      </c>
    </row>
    <row r="1438" customFormat="false" ht="15" hidden="false" customHeight="false" outlineLevel="0" collapsed="false">
      <c r="A1438" s="30" t="n">
        <v>46309.4875</v>
      </c>
      <c r="B1438" s="31" t="s">
        <v>77</v>
      </c>
      <c r="C1438" s="31" t="n">
        <v>6</v>
      </c>
      <c r="D1438" s="31"/>
      <c r="E1438" s="31"/>
      <c r="F1438" s="26" t="n">
        <f aca="false">INT(A1438-4/24)</f>
        <v>46309</v>
      </c>
    </row>
    <row r="1439" customFormat="false" ht="15" hidden="false" customHeight="false" outlineLevel="0" collapsed="false">
      <c r="A1439" s="30" t="n">
        <v>46309.5708333333</v>
      </c>
      <c r="B1439" s="31" t="s">
        <v>80</v>
      </c>
      <c r="C1439" s="31"/>
      <c r="D1439" s="31"/>
      <c r="E1439" s="31"/>
      <c r="F1439" s="26" t="n">
        <f aca="false">INT(A1439-4/24)</f>
        <v>46309</v>
      </c>
    </row>
    <row r="1440" customFormat="false" ht="15" hidden="false" customHeight="false" outlineLevel="0" collapsed="false">
      <c r="A1440" s="30" t="n">
        <v>46309.5833333333</v>
      </c>
      <c r="B1440" s="31" t="s">
        <v>74</v>
      </c>
      <c r="C1440" s="31"/>
      <c r="D1440" s="31" t="s">
        <v>82</v>
      </c>
      <c r="E1440" s="31"/>
      <c r="F1440" s="26" t="n">
        <f aca="false">INT(A1440-4/24)</f>
        <v>46309</v>
      </c>
    </row>
    <row r="1441" customFormat="false" ht="15" hidden="false" customHeight="false" outlineLevel="0" collapsed="false">
      <c r="A1441" s="30" t="n">
        <v>46309.5930555556</v>
      </c>
      <c r="B1441" s="31" t="s">
        <v>81</v>
      </c>
      <c r="C1441" s="31"/>
      <c r="D1441" s="31"/>
      <c r="E1441" s="31"/>
      <c r="F1441" s="26" t="n">
        <f aca="false">INT(A1441-4/24)</f>
        <v>46309</v>
      </c>
    </row>
    <row r="1442" customFormat="false" ht="15" hidden="false" customHeight="false" outlineLevel="0" collapsed="false">
      <c r="A1442" s="30" t="n">
        <v>46309.6347222222</v>
      </c>
      <c r="B1442" s="31" t="s">
        <v>77</v>
      </c>
      <c r="C1442" s="31" t="n">
        <v>5</v>
      </c>
      <c r="D1442" s="31"/>
      <c r="E1442" s="31"/>
      <c r="F1442" s="26" t="n">
        <f aca="false">INT(A1442-4/24)</f>
        <v>46309</v>
      </c>
    </row>
    <row r="1443" customFormat="false" ht="15" hidden="false" customHeight="false" outlineLevel="0" collapsed="false">
      <c r="A1443" s="30" t="n">
        <v>46309.6979166667</v>
      </c>
      <c r="B1443" s="31" t="s">
        <v>80</v>
      </c>
      <c r="C1443" s="31"/>
      <c r="D1443" s="31"/>
      <c r="E1443" s="31"/>
      <c r="F1443" s="26" t="n">
        <f aca="false">INT(A1443-4/24)</f>
        <v>46309</v>
      </c>
    </row>
    <row r="1444" customFormat="false" ht="15" hidden="false" customHeight="false" outlineLevel="0" collapsed="false">
      <c r="A1444" s="30" t="n">
        <v>46309.7291666667</v>
      </c>
      <c r="B1444" s="31" t="s">
        <v>81</v>
      </c>
      <c r="C1444" s="31"/>
      <c r="D1444" s="31"/>
      <c r="E1444" s="31"/>
      <c r="F1444" s="26" t="n">
        <f aca="false">INT(A1444-4/24)</f>
        <v>46309</v>
      </c>
    </row>
    <row r="1445" customFormat="false" ht="15" hidden="false" customHeight="false" outlineLevel="0" collapsed="false">
      <c r="A1445" s="30" t="n">
        <v>46309.7708333333</v>
      </c>
      <c r="B1445" s="31" t="s">
        <v>74</v>
      </c>
      <c r="C1445" s="31"/>
      <c r="D1445" s="31" t="s">
        <v>84</v>
      </c>
      <c r="E1445" s="31"/>
      <c r="F1445" s="26" t="n">
        <f aca="false">INT(A1445-4/24)</f>
        <v>46309</v>
      </c>
    </row>
    <row r="1446" customFormat="false" ht="15" hidden="false" customHeight="false" outlineLevel="0" collapsed="false">
      <c r="A1446" s="30" t="n">
        <v>46309.8041666667</v>
      </c>
      <c r="B1446" s="31" t="s">
        <v>77</v>
      </c>
      <c r="C1446" s="31" t="n">
        <v>5</v>
      </c>
      <c r="D1446" s="31"/>
      <c r="E1446" s="31"/>
      <c r="F1446" s="26" t="n">
        <f aca="false">INT(A1446-4/24)</f>
        <v>46309</v>
      </c>
    </row>
    <row r="1447" customFormat="false" ht="15" hidden="false" customHeight="false" outlineLevel="0" collapsed="false">
      <c r="A1447" s="30" t="n">
        <v>46309.8368055556</v>
      </c>
      <c r="B1447" s="31" t="s">
        <v>80</v>
      </c>
      <c r="C1447" s="31"/>
      <c r="D1447" s="31"/>
      <c r="E1447" s="31"/>
      <c r="F1447" s="26" t="n">
        <f aca="false">INT(A1447-4/24)</f>
        <v>46309</v>
      </c>
    </row>
    <row r="1448" customFormat="false" ht="15" hidden="false" customHeight="false" outlineLevel="0" collapsed="false">
      <c r="A1448" s="30" t="n">
        <v>46309.86875</v>
      </c>
      <c r="B1448" s="31" t="s">
        <v>81</v>
      </c>
      <c r="C1448" s="31"/>
      <c r="D1448" s="31"/>
      <c r="E1448" s="31"/>
      <c r="F1448" s="26" t="n">
        <f aca="false">INT(A1448-4/24)</f>
        <v>46309</v>
      </c>
    </row>
    <row r="1449" customFormat="false" ht="15" hidden="false" customHeight="false" outlineLevel="0" collapsed="false">
      <c r="A1449" s="30" t="n">
        <v>46309.9111111111</v>
      </c>
      <c r="B1449" s="31" t="s">
        <v>75</v>
      </c>
      <c r="C1449" s="31"/>
      <c r="D1449" s="31"/>
      <c r="E1449" s="31"/>
      <c r="F1449" s="26" t="n">
        <f aca="false">INT(A1449-4/24)</f>
        <v>46309</v>
      </c>
    </row>
    <row r="1450" customFormat="false" ht="15" hidden="false" customHeight="false" outlineLevel="0" collapsed="false">
      <c r="A1450" s="30" t="n">
        <v>46309.9368055556</v>
      </c>
      <c r="B1450" s="31" t="s">
        <v>74</v>
      </c>
      <c r="C1450" s="31"/>
      <c r="D1450" s="31" t="s">
        <v>82</v>
      </c>
      <c r="E1450" s="31"/>
      <c r="F1450" s="26" t="n">
        <f aca="false">INT(A1450-4/24)</f>
        <v>46309</v>
      </c>
    </row>
    <row r="1451" customFormat="false" ht="15" hidden="false" customHeight="false" outlineLevel="0" collapsed="false">
      <c r="A1451" s="30" t="n">
        <v>46309.9402777778</v>
      </c>
      <c r="B1451" s="31" t="s">
        <v>77</v>
      </c>
      <c r="C1451" s="31" t="n">
        <v>5</v>
      </c>
      <c r="D1451" s="31"/>
      <c r="E1451" s="31"/>
      <c r="F1451" s="26" t="n">
        <f aca="false">INT(A1451-4/24)</f>
        <v>46309</v>
      </c>
    </row>
    <row r="1452" customFormat="false" ht="15" hidden="false" customHeight="false" outlineLevel="0" collapsed="false">
      <c r="A1452" s="30" t="n">
        <v>46309.9708333333</v>
      </c>
      <c r="B1452" s="31" t="s">
        <v>80</v>
      </c>
      <c r="C1452" s="31"/>
      <c r="D1452" s="31"/>
      <c r="E1452" s="31"/>
      <c r="F1452" s="26" t="n">
        <f aca="false">INT(A1452-4/24)</f>
        <v>46309</v>
      </c>
    </row>
    <row r="1453" customFormat="false" ht="15" hidden="false" customHeight="false" outlineLevel="0" collapsed="false">
      <c r="A1453" s="30" t="n">
        <v>46310.0131944444</v>
      </c>
      <c r="B1453" s="31" t="s">
        <v>81</v>
      </c>
      <c r="C1453" s="31"/>
      <c r="D1453" s="31"/>
      <c r="E1453" s="31"/>
      <c r="F1453" s="26" t="n">
        <f aca="false">INT(A1453-4/24)</f>
        <v>46309</v>
      </c>
    </row>
    <row r="1454" customFormat="false" ht="15" hidden="false" customHeight="false" outlineLevel="0" collapsed="false">
      <c r="A1454" s="30" t="n">
        <v>46310.0131944444</v>
      </c>
      <c r="B1454" s="31" t="s">
        <v>75</v>
      </c>
      <c r="C1454" s="31"/>
      <c r="D1454" s="31"/>
      <c r="E1454" s="31"/>
      <c r="F1454" s="26" t="n">
        <f aca="false">INT(A1454-4/24)</f>
        <v>46309</v>
      </c>
    </row>
    <row r="1455" customFormat="false" ht="15" hidden="false" customHeight="false" outlineLevel="0" collapsed="false">
      <c r="A1455" s="30" t="n">
        <v>46310.0361111111</v>
      </c>
      <c r="B1455" s="31" t="s">
        <v>20</v>
      </c>
      <c r="C1455" s="31"/>
      <c r="D1455" s="31"/>
      <c r="E1455" s="31"/>
      <c r="F1455" s="26" t="n">
        <f aca="false">INT(A1455-4/24)</f>
        <v>46309</v>
      </c>
    </row>
    <row r="1456" customFormat="false" ht="15" hidden="false" customHeight="false" outlineLevel="0" collapsed="false">
      <c r="A1456" s="30" t="n">
        <v>46310.3465277778</v>
      </c>
      <c r="B1456" s="31" t="s">
        <v>79</v>
      </c>
      <c r="C1456" s="31"/>
      <c r="D1456" s="31"/>
      <c r="E1456" s="31"/>
      <c r="F1456" s="26" t="n">
        <f aca="false">INT(A1456-4/24)</f>
        <v>46310</v>
      </c>
    </row>
    <row r="1457" customFormat="false" ht="15" hidden="false" customHeight="false" outlineLevel="0" collapsed="false">
      <c r="A1457" s="30" t="n">
        <v>46310.3576388889</v>
      </c>
      <c r="B1457" s="31" t="s">
        <v>74</v>
      </c>
      <c r="C1457" s="31"/>
      <c r="D1457" s="31" t="s">
        <v>82</v>
      </c>
      <c r="E1457" s="31"/>
      <c r="F1457" s="26" t="n">
        <f aca="false">INT(A1457-4/24)</f>
        <v>46310</v>
      </c>
    </row>
    <row r="1458" customFormat="false" ht="15" hidden="false" customHeight="false" outlineLevel="0" collapsed="false">
      <c r="A1458" s="30" t="n">
        <v>46310.3611111111</v>
      </c>
      <c r="B1458" s="31" t="s">
        <v>75</v>
      </c>
      <c r="C1458" s="31"/>
      <c r="D1458" s="31"/>
      <c r="E1458" s="31"/>
      <c r="F1458" s="26" t="n">
        <f aca="false">INT(A1458-4/24)</f>
        <v>46310</v>
      </c>
    </row>
    <row r="1459" customFormat="false" ht="15" hidden="false" customHeight="false" outlineLevel="0" collapsed="false">
      <c r="A1459" s="30" t="n">
        <v>46310.3618055556</v>
      </c>
      <c r="B1459" s="31" t="s">
        <v>77</v>
      </c>
      <c r="C1459" s="31" t="n">
        <v>6</v>
      </c>
      <c r="D1459" s="31"/>
      <c r="E1459" s="31"/>
      <c r="F1459" s="26" t="n">
        <f aca="false">INT(A1459-4/24)</f>
        <v>46310</v>
      </c>
    </row>
    <row r="1460" customFormat="false" ht="15" hidden="false" customHeight="false" outlineLevel="0" collapsed="false">
      <c r="A1460" s="30" t="n">
        <v>46310.4236111111</v>
      </c>
      <c r="B1460" s="31" t="s">
        <v>80</v>
      </c>
      <c r="C1460" s="31"/>
      <c r="D1460" s="31"/>
      <c r="E1460" s="31"/>
      <c r="F1460" s="26" t="n">
        <f aca="false">INT(A1460-4/24)</f>
        <v>46310</v>
      </c>
    </row>
    <row r="1461" customFormat="false" ht="15" hidden="false" customHeight="false" outlineLevel="0" collapsed="false">
      <c r="A1461" s="30" t="n">
        <v>46310.4493055556</v>
      </c>
      <c r="B1461" s="31" t="s">
        <v>81</v>
      </c>
      <c r="C1461" s="31"/>
      <c r="D1461" s="31"/>
      <c r="E1461" s="31"/>
      <c r="F1461" s="26" t="n">
        <f aca="false">INT(A1461-4/24)</f>
        <v>46310</v>
      </c>
    </row>
    <row r="1462" customFormat="false" ht="15" hidden="false" customHeight="false" outlineLevel="0" collapsed="false">
      <c r="A1462" s="30" t="n">
        <v>46310.5104166667</v>
      </c>
      <c r="B1462" s="31" t="s">
        <v>77</v>
      </c>
      <c r="C1462" s="31" t="n">
        <v>5</v>
      </c>
      <c r="D1462" s="31"/>
      <c r="E1462" s="31"/>
      <c r="F1462" s="26" t="n">
        <f aca="false">INT(A1462-4/24)</f>
        <v>46310</v>
      </c>
    </row>
    <row r="1463" customFormat="false" ht="15" hidden="false" customHeight="false" outlineLevel="0" collapsed="false">
      <c r="A1463" s="30" t="n">
        <v>46310.5631944445</v>
      </c>
      <c r="B1463" s="31" t="s">
        <v>80</v>
      </c>
      <c r="C1463" s="31"/>
      <c r="D1463" s="31"/>
      <c r="E1463" s="31"/>
      <c r="F1463" s="26" t="n">
        <f aca="false">INT(A1463-4/24)</f>
        <v>46310</v>
      </c>
    </row>
    <row r="1464" customFormat="false" ht="15" hidden="false" customHeight="false" outlineLevel="0" collapsed="false">
      <c r="A1464" s="30" t="n">
        <v>46310.6444444444</v>
      </c>
      <c r="B1464" s="31" t="s">
        <v>81</v>
      </c>
      <c r="C1464" s="31"/>
      <c r="D1464" s="31"/>
      <c r="E1464" s="31"/>
      <c r="F1464" s="26" t="n">
        <f aca="false">INT(A1464-4/24)</f>
        <v>46310</v>
      </c>
    </row>
    <row r="1465" customFormat="false" ht="15" hidden="false" customHeight="false" outlineLevel="0" collapsed="false">
      <c r="A1465" s="30" t="n">
        <v>46310.6493055556</v>
      </c>
      <c r="B1465" s="31" t="s">
        <v>74</v>
      </c>
      <c r="C1465" s="31"/>
      <c r="D1465" s="31" t="s">
        <v>82</v>
      </c>
      <c r="E1465" s="31"/>
      <c r="F1465" s="26" t="n">
        <f aca="false">INT(A1465-4/24)</f>
        <v>46310</v>
      </c>
    </row>
    <row r="1466" customFormat="false" ht="15" hidden="false" customHeight="false" outlineLevel="0" collapsed="false">
      <c r="A1466" s="30" t="n">
        <v>46310.6527777778</v>
      </c>
      <c r="B1466" s="31" t="s">
        <v>77</v>
      </c>
      <c r="C1466" s="31" t="n">
        <v>5</v>
      </c>
      <c r="D1466" s="31"/>
      <c r="E1466" s="31"/>
      <c r="F1466" s="26" t="n">
        <f aca="false">INT(A1466-4/24)</f>
        <v>46310</v>
      </c>
    </row>
    <row r="1467" customFormat="false" ht="15" hidden="false" customHeight="false" outlineLevel="0" collapsed="false">
      <c r="A1467" s="30" t="n">
        <v>46310.6798611111</v>
      </c>
      <c r="B1467" s="31" t="s">
        <v>75</v>
      </c>
      <c r="C1467" s="31"/>
      <c r="D1467" s="31"/>
      <c r="E1467" s="31"/>
      <c r="F1467" s="26" t="n">
        <f aca="false">INT(A1467-4/24)</f>
        <v>46310</v>
      </c>
    </row>
    <row r="1468" customFormat="false" ht="15" hidden="false" customHeight="false" outlineLevel="0" collapsed="false">
      <c r="A1468" s="30" t="n">
        <v>46310.7604166667</v>
      </c>
      <c r="B1468" s="31" t="s">
        <v>74</v>
      </c>
      <c r="C1468" s="31"/>
      <c r="D1468" s="31" t="s">
        <v>82</v>
      </c>
      <c r="E1468" s="31"/>
      <c r="F1468" s="26" t="n">
        <f aca="false">INT(A1468-4/24)</f>
        <v>46310</v>
      </c>
    </row>
    <row r="1469" customFormat="false" ht="15" hidden="false" customHeight="false" outlineLevel="0" collapsed="false">
      <c r="A1469" s="30" t="n">
        <v>46310.7923611111</v>
      </c>
      <c r="B1469" s="31" t="s">
        <v>77</v>
      </c>
      <c r="C1469" s="31" t="n">
        <v>5</v>
      </c>
      <c r="D1469" s="31"/>
      <c r="E1469" s="31"/>
      <c r="F1469" s="26" t="n">
        <f aca="false">INT(A1469-4/24)</f>
        <v>46310</v>
      </c>
    </row>
    <row r="1470" customFormat="false" ht="15" hidden="false" customHeight="false" outlineLevel="0" collapsed="false">
      <c r="A1470" s="30" t="n">
        <v>46310.88125</v>
      </c>
      <c r="B1470" s="31" t="s">
        <v>74</v>
      </c>
      <c r="C1470" s="31"/>
      <c r="D1470" s="31" t="s">
        <v>82</v>
      </c>
      <c r="E1470" s="31"/>
      <c r="F1470" s="26" t="n">
        <f aca="false">INT(A1470-4/24)</f>
        <v>46310</v>
      </c>
    </row>
    <row r="1471" customFormat="false" ht="15" hidden="false" customHeight="false" outlineLevel="0" collapsed="false">
      <c r="A1471" s="30" t="n">
        <v>46310.9111111111</v>
      </c>
      <c r="B1471" s="31" t="s">
        <v>77</v>
      </c>
      <c r="C1471" s="31" t="n">
        <v>5</v>
      </c>
      <c r="D1471" s="31"/>
      <c r="E1471" s="31"/>
      <c r="F1471" s="26" t="n">
        <f aca="false">INT(A1471-4/24)</f>
        <v>46310</v>
      </c>
    </row>
    <row r="1472" customFormat="false" ht="15" hidden="false" customHeight="false" outlineLevel="0" collapsed="false">
      <c r="A1472" s="30" t="n">
        <v>46310.9770833333</v>
      </c>
      <c r="B1472" s="31" t="s">
        <v>74</v>
      </c>
      <c r="C1472" s="31"/>
      <c r="D1472" s="31" t="s">
        <v>82</v>
      </c>
      <c r="E1472" s="31"/>
      <c r="F1472" s="26" t="n">
        <f aca="false">INT(A1472-4/24)</f>
        <v>46310</v>
      </c>
    </row>
    <row r="1473" customFormat="false" ht="15" hidden="false" customHeight="false" outlineLevel="0" collapsed="false">
      <c r="A1473" s="30" t="n">
        <v>46311.0180555556</v>
      </c>
      <c r="B1473" s="31" t="s">
        <v>75</v>
      </c>
      <c r="C1473" s="31"/>
      <c r="D1473" s="31"/>
      <c r="E1473" s="31"/>
      <c r="F1473" s="26" t="n">
        <f aca="false">INT(A1473-4/24)</f>
        <v>46310</v>
      </c>
    </row>
    <row r="1474" customFormat="false" ht="15" hidden="false" customHeight="false" outlineLevel="0" collapsed="false">
      <c r="A1474" s="30" t="n">
        <v>46311.0180555556</v>
      </c>
      <c r="B1474" s="31" t="s">
        <v>77</v>
      </c>
      <c r="C1474" s="31" t="n">
        <v>5</v>
      </c>
      <c r="D1474" s="31"/>
      <c r="E1474" s="31"/>
      <c r="F1474" s="26" t="n">
        <f aca="false">INT(A1474-4/24)</f>
        <v>46310</v>
      </c>
    </row>
    <row r="1475" customFormat="false" ht="15" hidden="false" customHeight="false" outlineLevel="0" collapsed="false">
      <c r="A1475" s="30" t="n">
        <v>46311.0263888889</v>
      </c>
      <c r="B1475" s="31" t="s">
        <v>80</v>
      </c>
      <c r="C1475" s="31"/>
      <c r="D1475" s="31"/>
      <c r="E1475" s="31"/>
      <c r="F1475" s="26" t="n">
        <f aca="false">INT(A1475-4/24)</f>
        <v>46310</v>
      </c>
    </row>
    <row r="1476" customFormat="false" ht="15" hidden="false" customHeight="false" outlineLevel="0" collapsed="false">
      <c r="A1476" s="30" t="n">
        <v>46311.0625</v>
      </c>
      <c r="B1476" s="31" t="s">
        <v>81</v>
      </c>
      <c r="C1476" s="31"/>
      <c r="D1476" s="31"/>
      <c r="E1476" s="31"/>
      <c r="F1476" s="26" t="n">
        <f aca="false">INT(A1476-4/24)</f>
        <v>46310</v>
      </c>
    </row>
    <row r="1477" customFormat="false" ht="15" hidden="false" customHeight="false" outlineLevel="0" collapsed="false">
      <c r="A1477" s="30" t="n">
        <v>46311.0631944445</v>
      </c>
      <c r="B1477" s="31" t="s">
        <v>20</v>
      </c>
      <c r="C1477" s="31"/>
      <c r="D1477" s="31"/>
      <c r="E1477" s="31"/>
      <c r="F1477" s="26" t="n">
        <f aca="false">INT(A1477-4/24)</f>
        <v>46310</v>
      </c>
    </row>
    <row r="1478" customFormat="false" ht="15" hidden="false" customHeight="false" outlineLevel="0" collapsed="false">
      <c r="A1478" s="30" t="n">
        <v>46311.39375</v>
      </c>
      <c r="B1478" s="31" t="s">
        <v>79</v>
      </c>
      <c r="C1478" s="31"/>
      <c r="D1478" s="31"/>
      <c r="E1478" s="31"/>
      <c r="F1478" s="26" t="n">
        <f aca="false">INT(A1478-4/24)</f>
        <v>46311</v>
      </c>
    </row>
    <row r="1479" customFormat="false" ht="15" hidden="false" customHeight="false" outlineLevel="0" collapsed="false">
      <c r="A1479" s="30" t="n">
        <v>46311.4097222222</v>
      </c>
      <c r="B1479" s="31" t="s">
        <v>74</v>
      </c>
      <c r="C1479" s="31"/>
      <c r="D1479" s="31" t="s">
        <v>82</v>
      </c>
      <c r="E1479" s="31"/>
      <c r="F1479" s="26" t="n">
        <f aca="false">INT(A1479-4/24)</f>
        <v>46311</v>
      </c>
    </row>
    <row r="1480" customFormat="false" ht="15" hidden="false" customHeight="false" outlineLevel="0" collapsed="false">
      <c r="A1480" s="30" t="n">
        <v>46311.4138888889</v>
      </c>
      <c r="B1480" s="31" t="s">
        <v>75</v>
      </c>
      <c r="C1480" s="31"/>
      <c r="D1480" s="31"/>
      <c r="E1480" s="31"/>
      <c r="F1480" s="26" t="n">
        <f aca="false">INT(A1480-4/24)</f>
        <v>46311</v>
      </c>
    </row>
    <row r="1481" customFormat="false" ht="15" hidden="false" customHeight="false" outlineLevel="0" collapsed="false">
      <c r="A1481" s="30" t="n">
        <v>46311.4145833333</v>
      </c>
      <c r="B1481" s="31" t="s">
        <v>77</v>
      </c>
      <c r="C1481" s="31" t="n">
        <v>6</v>
      </c>
      <c r="D1481" s="31"/>
      <c r="E1481" s="31"/>
      <c r="F1481" s="26" t="n">
        <f aca="false">INT(A1481-4/24)</f>
        <v>46311</v>
      </c>
    </row>
    <row r="1482" customFormat="false" ht="15" hidden="false" customHeight="false" outlineLevel="0" collapsed="false">
      <c r="A1482" s="30" t="n">
        <v>46311.5208333333</v>
      </c>
      <c r="B1482" s="31" t="s">
        <v>74</v>
      </c>
      <c r="C1482" s="31"/>
      <c r="D1482" s="31" t="s">
        <v>84</v>
      </c>
      <c r="E1482" s="31"/>
      <c r="F1482" s="26" t="n">
        <f aca="false">INT(A1482-4/24)</f>
        <v>46311</v>
      </c>
    </row>
    <row r="1483" customFormat="false" ht="15" hidden="false" customHeight="false" outlineLevel="0" collapsed="false">
      <c r="A1483" s="30" t="n">
        <v>46311.5333333333</v>
      </c>
      <c r="B1483" s="31" t="s">
        <v>77</v>
      </c>
      <c r="C1483" s="31" t="n">
        <v>5</v>
      </c>
      <c r="D1483" s="31"/>
      <c r="E1483" s="31"/>
      <c r="F1483" s="26" t="n">
        <f aca="false">INT(A1483-4/24)</f>
        <v>46311</v>
      </c>
    </row>
    <row r="1484" customFormat="false" ht="15" hidden="false" customHeight="false" outlineLevel="0" collapsed="false">
      <c r="A1484" s="30" t="n">
        <v>46311.5416666667</v>
      </c>
      <c r="B1484" s="31" t="s">
        <v>80</v>
      </c>
      <c r="C1484" s="31"/>
      <c r="D1484" s="31"/>
      <c r="E1484" s="31"/>
      <c r="F1484" s="26" t="n">
        <f aca="false">INT(A1484-4/24)</f>
        <v>46311</v>
      </c>
    </row>
    <row r="1485" customFormat="false" ht="15" hidden="false" customHeight="false" outlineLevel="0" collapsed="false">
      <c r="A1485" s="30" t="n">
        <v>46311.5548611111</v>
      </c>
      <c r="B1485" s="31" t="s">
        <v>81</v>
      </c>
      <c r="C1485" s="31"/>
      <c r="D1485" s="31"/>
      <c r="E1485" s="31"/>
      <c r="F1485" s="26" t="n">
        <f aca="false">INT(A1485-4/24)</f>
        <v>46311</v>
      </c>
    </row>
    <row r="1486" customFormat="false" ht="15" hidden="false" customHeight="false" outlineLevel="0" collapsed="false">
      <c r="A1486" s="30" t="n">
        <v>46311.6576388889</v>
      </c>
      <c r="B1486" s="31" t="s">
        <v>77</v>
      </c>
      <c r="C1486" s="31" t="n">
        <v>5</v>
      </c>
      <c r="D1486" s="31"/>
      <c r="E1486" s="31"/>
      <c r="F1486" s="26" t="n">
        <f aca="false">INT(A1486-4/24)</f>
        <v>46311</v>
      </c>
    </row>
    <row r="1487" customFormat="false" ht="15" hidden="false" customHeight="false" outlineLevel="0" collapsed="false">
      <c r="A1487" s="30" t="n">
        <v>46311.6736111111</v>
      </c>
      <c r="B1487" s="31" t="s">
        <v>75</v>
      </c>
      <c r="C1487" s="31"/>
      <c r="D1487" s="31"/>
      <c r="E1487" s="31"/>
      <c r="F1487" s="26" t="n">
        <f aca="false">INT(A1487-4/24)</f>
        <v>46311</v>
      </c>
    </row>
    <row r="1488" customFormat="false" ht="15" hidden="false" customHeight="false" outlineLevel="0" collapsed="false">
      <c r="A1488" s="30" t="n">
        <v>46311.7083333333</v>
      </c>
      <c r="B1488" s="31" t="s">
        <v>80</v>
      </c>
      <c r="C1488" s="31"/>
      <c r="D1488" s="31"/>
      <c r="E1488" s="31"/>
      <c r="F1488" s="26" t="n">
        <f aca="false">INT(A1488-4/24)</f>
        <v>46311</v>
      </c>
    </row>
    <row r="1489" customFormat="false" ht="15" hidden="false" customHeight="false" outlineLevel="0" collapsed="false">
      <c r="A1489" s="30" t="n">
        <v>46311.7590277778</v>
      </c>
      <c r="B1489" s="31" t="s">
        <v>81</v>
      </c>
      <c r="C1489" s="31"/>
      <c r="D1489" s="31"/>
      <c r="E1489" s="31"/>
      <c r="F1489" s="26" t="n">
        <f aca="false">INT(A1489-4/24)</f>
        <v>46311</v>
      </c>
    </row>
    <row r="1490" customFormat="false" ht="15" hidden="false" customHeight="false" outlineLevel="0" collapsed="false">
      <c r="A1490" s="30" t="n">
        <v>46311.7625</v>
      </c>
      <c r="B1490" s="31" t="s">
        <v>74</v>
      </c>
      <c r="C1490" s="31"/>
      <c r="D1490" s="31" t="s">
        <v>82</v>
      </c>
      <c r="E1490" s="31"/>
      <c r="F1490" s="26" t="n">
        <f aca="false">INT(A1490-4/24)</f>
        <v>46311</v>
      </c>
    </row>
    <row r="1491" customFormat="false" ht="15" hidden="false" customHeight="false" outlineLevel="0" collapsed="false">
      <c r="A1491" s="30" t="n">
        <v>46311.8013888889</v>
      </c>
      <c r="B1491" s="31" t="s">
        <v>77</v>
      </c>
      <c r="C1491" s="31" t="n">
        <v>5</v>
      </c>
      <c r="D1491" s="31"/>
      <c r="E1491" s="31"/>
      <c r="F1491" s="26" t="n">
        <f aca="false">INT(A1491-4/24)</f>
        <v>46311</v>
      </c>
    </row>
    <row r="1492" customFormat="false" ht="15" hidden="false" customHeight="false" outlineLevel="0" collapsed="false">
      <c r="A1492" s="30" t="n">
        <v>46311.8819444445</v>
      </c>
      <c r="B1492" s="31" t="s">
        <v>74</v>
      </c>
      <c r="C1492" s="31"/>
      <c r="D1492" s="31" t="s">
        <v>82</v>
      </c>
      <c r="E1492" s="31"/>
      <c r="F1492" s="26" t="n">
        <f aca="false">INT(A1492-4/24)</f>
        <v>46311</v>
      </c>
    </row>
    <row r="1493" customFormat="false" ht="15" hidden="false" customHeight="false" outlineLevel="0" collapsed="false">
      <c r="A1493" s="30" t="n">
        <v>46311.9256944444</v>
      </c>
      <c r="B1493" s="31" t="s">
        <v>77</v>
      </c>
      <c r="C1493" s="31" t="n">
        <v>5</v>
      </c>
      <c r="D1493" s="31"/>
      <c r="E1493" s="31"/>
      <c r="F1493" s="26" t="n">
        <f aca="false">INT(A1493-4/24)</f>
        <v>46311</v>
      </c>
    </row>
    <row r="1494" customFormat="false" ht="15" hidden="false" customHeight="false" outlineLevel="0" collapsed="false">
      <c r="A1494" s="30" t="n">
        <v>46312.0069444445</v>
      </c>
      <c r="B1494" s="31" t="s">
        <v>74</v>
      </c>
      <c r="C1494" s="31"/>
      <c r="D1494" s="31" t="s">
        <v>82</v>
      </c>
      <c r="E1494" s="31"/>
      <c r="F1494" s="26" t="n">
        <f aca="false">INT(A1494-4/24)</f>
        <v>46311</v>
      </c>
    </row>
    <row r="1495" customFormat="false" ht="15" hidden="false" customHeight="false" outlineLevel="0" collapsed="false">
      <c r="A1495" s="30" t="n">
        <v>46312.0319444445</v>
      </c>
      <c r="B1495" s="31" t="s">
        <v>75</v>
      </c>
      <c r="C1495" s="31"/>
      <c r="D1495" s="31"/>
      <c r="E1495" s="31"/>
      <c r="F1495" s="26" t="n">
        <f aca="false">INT(A1495-4/24)</f>
        <v>46311</v>
      </c>
    </row>
    <row r="1496" customFormat="false" ht="15" hidden="false" customHeight="false" outlineLevel="0" collapsed="false">
      <c r="A1496" s="30" t="n">
        <v>46312.0319444445</v>
      </c>
      <c r="B1496" s="31" t="s">
        <v>77</v>
      </c>
      <c r="C1496" s="31" t="n">
        <v>5</v>
      </c>
      <c r="D1496" s="31"/>
      <c r="E1496" s="31"/>
      <c r="F1496" s="26" t="n">
        <f aca="false">INT(A1496-4/24)</f>
        <v>46311</v>
      </c>
    </row>
    <row r="1497" customFormat="false" ht="15" hidden="false" customHeight="false" outlineLevel="0" collapsed="false">
      <c r="A1497" s="30" t="n">
        <v>46312.0354166667</v>
      </c>
      <c r="B1497" s="31" t="s">
        <v>80</v>
      </c>
      <c r="C1497" s="31"/>
      <c r="D1497" s="31"/>
      <c r="E1497" s="31"/>
      <c r="F1497" s="26" t="n">
        <f aca="false">INT(A1497-4/24)</f>
        <v>46311</v>
      </c>
    </row>
    <row r="1498" customFormat="false" ht="15" hidden="false" customHeight="false" outlineLevel="0" collapsed="false">
      <c r="A1498" s="30" t="n">
        <v>46312.0611111111</v>
      </c>
      <c r="B1498" s="31" t="s">
        <v>81</v>
      </c>
      <c r="C1498" s="31"/>
      <c r="D1498" s="31"/>
      <c r="E1498" s="31"/>
      <c r="F1498" s="26" t="n">
        <f aca="false">INT(A1498-4/24)</f>
        <v>46311</v>
      </c>
    </row>
    <row r="1499" customFormat="false" ht="15" hidden="false" customHeight="false" outlineLevel="0" collapsed="false">
      <c r="A1499" s="30" t="n">
        <v>46312.0611111111</v>
      </c>
      <c r="B1499" s="31" t="s">
        <v>20</v>
      </c>
      <c r="C1499" s="31"/>
      <c r="D1499" s="31"/>
      <c r="E1499" s="31"/>
      <c r="F1499" s="26" t="n">
        <f aca="false">INT(A1499-4/24)</f>
        <v>46311</v>
      </c>
    </row>
    <row r="1500" customFormat="false" ht="15" hidden="false" customHeight="false" outlineLevel="0" collapsed="false">
      <c r="A1500" s="30" t="n">
        <v>46312.3819444445</v>
      </c>
      <c r="B1500" s="31" t="s">
        <v>79</v>
      </c>
      <c r="C1500" s="31"/>
      <c r="D1500" s="31"/>
      <c r="E1500" s="31"/>
      <c r="F1500" s="26" t="n">
        <f aca="false">INT(A1500-4/24)</f>
        <v>46312</v>
      </c>
    </row>
    <row r="1501" customFormat="false" ht="15" hidden="false" customHeight="false" outlineLevel="0" collapsed="false">
      <c r="A1501" s="30" t="n">
        <v>46312.3819444445</v>
      </c>
      <c r="B1501" s="31" t="s">
        <v>74</v>
      </c>
      <c r="C1501" s="31"/>
      <c r="D1501" s="31" t="s">
        <v>82</v>
      </c>
      <c r="E1501" s="31"/>
      <c r="F1501" s="26" t="n">
        <f aca="false">INT(A1501-4/24)</f>
        <v>46312</v>
      </c>
    </row>
    <row r="1502" customFormat="false" ht="15" hidden="false" customHeight="false" outlineLevel="0" collapsed="false">
      <c r="A1502" s="30" t="n">
        <v>46312.3951388889</v>
      </c>
      <c r="B1502" s="31" t="s">
        <v>75</v>
      </c>
      <c r="C1502" s="31"/>
      <c r="D1502" s="31"/>
      <c r="E1502" s="31"/>
      <c r="F1502" s="26" t="n">
        <f aca="false">INT(A1502-4/24)</f>
        <v>46312</v>
      </c>
    </row>
    <row r="1503" customFormat="false" ht="15" hidden="false" customHeight="false" outlineLevel="0" collapsed="false">
      <c r="A1503" s="30" t="n">
        <v>46312.3951388889</v>
      </c>
      <c r="B1503" s="31" t="s">
        <v>77</v>
      </c>
      <c r="C1503" s="31" t="n">
        <v>6</v>
      </c>
      <c r="D1503" s="31"/>
      <c r="E1503" s="31"/>
      <c r="F1503" s="26" t="n">
        <f aca="false">INT(A1503-4/24)</f>
        <v>46312</v>
      </c>
    </row>
    <row r="1504" customFormat="false" ht="15" hidden="false" customHeight="false" outlineLevel="0" collapsed="false">
      <c r="A1504" s="30" t="n">
        <v>46312.4520833333</v>
      </c>
      <c r="B1504" s="31" t="s">
        <v>80</v>
      </c>
      <c r="C1504" s="31"/>
      <c r="D1504" s="31"/>
      <c r="E1504" s="31"/>
      <c r="F1504" s="26" t="n">
        <f aca="false">INT(A1504-4/24)</f>
        <v>46312</v>
      </c>
    </row>
    <row r="1505" customFormat="false" ht="15" hidden="false" customHeight="false" outlineLevel="0" collapsed="false">
      <c r="A1505" s="30" t="n">
        <v>46312.4694444445</v>
      </c>
      <c r="B1505" s="31" t="s">
        <v>81</v>
      </c>
      <c r="C1505" s="31"/>
      <c r="D1505" s="31"/>
      <c r="E1505" s="31"/>
      <c r="F1505" s="26" t="n">
        <f aca="false">INT(A1505-4/24)</f>
        <v>46312</v>
      </c>
    </row>
    <row r="1506" customFormat="false" ht="15" hidden="false" customHeight="false" outlineLevel="0" collapsed="false">
      <c r="A1506" s="30" t="n">
        <v>46312.5305555556</v>
      </c>
      <c r="B1506" s="31" t="s">
        <v>77</v>
      </c>
      <c r="C1506" s="31" t="n">
        <v>5</v>
      </c>
      <c r="D1506" s="31"/>
      <c r="E1506" s="31"/>
      <c r="F1506" s="26" t="n">
        <f aca="false">INT(A1506-4/24)</f>
        <v>46312</v>
      </c>
    </row>
    <row r="1507" customFormat="false" ht="15" hidden="false" customHeight="false" outlineLevel="0" collapsed="false">
      <c r="A1507" s="30" t="n">
        <v>46312.5520833333</v>
      </c>
      <c r="B1507" s="31" t="s">
        <v>80</v>
      </c>
      <c r="C1507" s="31"/>
      <c r="D1507" s="31"/>
      <c r="E1507" s="31"/>
      <c r="F1507" s="26" t="n">
        <f aca="false">INT(A1507-4/24)</f>
        <v>46312</v>
      </c>
    </row>
    <row r="1508" customFormat="false" ht="15" hidden="false" customHeight="false" outlineLevel="0" collapsed="false">
      <c r="A1508" s="30" t="n">
        <v>46312.5756944444</v>
      </c>
      <c r="B1508" s="31" t="s">
        <v>81</v>
      </c>
      <c r="C1508" s="31"/>
      <c r="D1508" s="31"/>
      <c r="E1508" s="31"/>
      <c r="F1508" s="26" t="n">
        <f aca="false">INT(A1508-4/24)</f>
        <v>46312</v>
      </c>
    </row>
    <row r="1509" customFormat="false" ht="15" hidden="false" customHeight="false" outlineLevel="0" collapsed="false">
      <c r="A1509" s="30" t="n">
        <v>46312.5763888889</v>
      </c>
      <c r="B1509" s="31" t="s">
        <v>74</v>
      </c>
      <c r="C1509" s="31"/>
      <c r="D1509" s="31" t="s">
        <v>82</v>
      </c>
      <c r="E1509" s="31"/>
      <c r="F1509" s="26" t="n">
        <f aca="false">INT(A1509-4/24)</f>
        <v>46312</v>
      </c>
    </row>
    <row r="1510" customFormat="false" ht="15" hidden="false" customHeight="false" outlineLevel="0" collapsed="false">
      <c r="A1510" s="30" t="n">
        <v>46312.625</v>
      </c>
      <c r="B1510" s="31" t="s">
        <v>74</v>
      </c>
      <c r="C1510" s="31"/>
      <c r="D1510" s="31" t="s">
        <v>84</v>
      </c>
      <c r="E1510" s="31"/>
      <c r="F1510" s="26" t="n">
        <f aca="false">INT(A1510-4/24)</f>
        <v>46312</v>
      </c>
    </row>
    <row r="1511" customFormat="false" ht="15" hidden="false" customHeight="false" outlineLevel="0" collapsed="false">
      <c r="A1511" s="30" t="n">
        <v>46312.6506944444</v>
      </c>
      <c r="B1511" s="31" t="s">
        <v>77</v>
      </c>
      <c r="C1511" s="31" t="n">
        <v>5</v>
      </c>
      <c r="D1511" s="31"/>
      <c r="E1511" s="31"/>
      <c r="F1511" s="26" t="n">
        <f aca="false">INT(A1511-4/24)</f>
        <v>46312</v>
      </c>
    </row>
    <row r="1512" customFormat="false" ht="15" hidden="false" customHeight="false" outlineLevel="0" collapsed="false">
      <c r="A1512" s="30" t="n">
        <v>46312.7118055556</v>
      </c>
      <c r="B1512" s="31" t="s">
        <v>80</v>
      </c>
      <c r="C1512" s="31"/>
      <c r="D1512" s="31"/>
      <c r="E1512" s="31"/>
      <c r="F1512" s="26" t="n">
        <f aca="false">INT(A1512-4/24)</f>
        <v>46312</v>
      </c>
    </row>
    <row r="1513" customFormat="false" ht="15" hidden="false" customHeight="false" outlineLevel="0" collapsed="false">
      <c r="A1513" s="30" t="n">
        <v>46312.7395833333</v>
      </c>
      <c r="B1513" s="31" t="s">
        <v>75</v>
      </c>
      <c r="C1513" s="31"/>
      <c r="D1513" s="31"/>
      <c r="E1513" s="31"/>
      <c r="F1513" s="26" t="n">
        <f aca="false">INT(A1513-4/24)</f>
        <v>46312</v>
      </c>
    </row>
    <row r="1514" customFormat="false" ht="15" hidden="false" customHeight="false" outlineLevel="0" collapsed="false">
      <c r="A1514" s="30" t="n">
        <v>46312.7409722222</v>
      </c>
      <c r="B1514" s="31" t="s">
        <v>81</v>
      </c>
      <c r="C1514" s="31"/>
      <c r="D1514" s="31"/>
      <c r="E1514" s="31"/>
      <c r="F1514" s="26" t="n">
        <f aca="false">INT(A1514-4/24)</f>
        <v>46312</v>
      </c>
    </row>
    <row r="1515" customFormat="false" ht="15" hidden="false" customHeight="false" outlineLevel="0" collapsed="false">
      <c r="A1515" s="30" t="n">
        <v>46312.7847222222</v>
      </c>
      <c r="B1515" s="31" t="s">
        <v>77</v>
      </c>
      <c r="C1515" s="31" t="n">
        <v>5</v>
      </c>
      <c r="D1515" s="31"/>
      <c r="E1515" s="31"/>
      <c r="F1515" s="26" t="n">
        <f aca="false">INT(A1515-4/24)</f>
        <v>46312</v>
      </c>
    </row>
    <row r="1516" customFormat="false" ht="15" hidden="false" customHeight="false" outlineLevel="0" collapsed="false">
      <c r="A1516" s="30" t="n">
        <v>46312.8388888889</v>
      </c>
      <c r="B1516" s="31" t="s">
        <v>74</v>
      </c>
      <c r="C1516" s="31"/>
      <c r="D1516" s="31" t="s">
        <v>83</v>
      </c>
      <c r="E1516" s="31"/>
      <c r="F1516" s="26" t="n">
        <f aca="false">INT(A1516-4/24)</f>
        <v>46312</v>
      </c>
    </row>
    <row r="1517" customFormat="false" ht="15" hidden="false" customHeight="false" outlineLevel="0" collapsed="false">
      <c r="A1517" s="30" t="n">
        <v>46312.9104166667</v>
      </c>
      <c r="B1517" s="31" t="s">
        <v>77</v>
      </c>
      <c r="C1517" s="31" t="n">
        <v>5</v>
      </c>
      <c r="D1517" s="31"/>
      <c r="E1517" s="31"/>
      <c r="F1517" s="26" t="n">
        <f aca="false">INT(A1517-4/24)</f>
        <v>46312</v>
      </c>
    </row>
    <row r="1518" customFormat="false" ht="15" hidden="false" customHeight="false" outlineLevel="0" collapsed="false">
      <c r="A1518" s="30" t="n">
        <v>46312.9208333333</v>
      </c>
      <c r="B1518" s="31" t="s">
        <v>74</v>
      </c>
      <c r="C1518" s="31"/>
      <c r="D1518" s="31" t="s">
        <v>82</v>
      </c>
      <c r="E1518" s="31"/>
      <c r="F1518" s="26" t="n">
        <f aca="false">INT(A1518-4/24)</f>
        <v>46312</v>
      </c>
    </row>
    <row r="1519" customFormat="false" ht="15" hidden="false" customHeight="false" outlineLevel="0" collapsed="false">
      <c r="A1519" s="30" t="n">
        <v>46312.9305555556</v>
      </c>
      <c r="B1519" s="31" t="s">
        <v>74</v>
      </c>
      <c r="C1519" s="31"/>
      <c r="D1519" s="31" t="s">
        <v>84</v>
      </c>
      <c r="E1519" s="31"/>
      <c r="F1519" s="26" t="n">
        <f aca="false">INT(A1519-4/24)</f>
        <v>46312</v>
      </c>
    </row>
    <row r="1520" customFormat="false" ht="15" hidden="false" customHeight="false" outlineLevel="0" collapsed="false">
      <c r="A1520" s="30" t="n">
        <v>46312.96875</v>
      </c>
      <c r="B1520" s="31" t="s">
        <v>80</v>
      </c>
      <c r="C1520" s="31"/>
      <c r="D1520" s="31"/>
      <c r="E1520" s="31"/>
      <c r="F1520" s="26" t="n">
        <f aca="false">INT(A1520-4/24)</f>
        <v>46312</v>
      </c>
    </row>
    <row r="1521" customFormat="false" ht="15" hidden="false" customHeight="false" outlineLevel="0" collapsed="false">
      <c r="A1521" s="30" t="n">
        <v>46313.0152777778</v>
      </c>
      <c r="B1521" s="31" t="s">
        <v>81</v>
      </c>
      <c r="C1521" s="31"/>
      <c r="D1521" s="31"/>
      <c r="E1521" s="31"/>
      <c r="F1521" s="26" t="n">
        <f aca="false">INT(A1521-4/24)</f>
        <v>46312</v>
      </c>
    </row>
    <row r="1522" customFormat="false" ht="15" hidden="false" customHeight="false" outlineLevel="0" collapsed="false">
      <c r="A1522" s="30" t="n">
        <v>46313.0152777778</v>
      </c>
      <c r="B1522" s="31" t="s">
        <v>75</v>
      </c>
      <c r="C1522" s="31"/>
      <c r="D1522" s="31"/>
      <c r="E1522" s="31"/>
      <c r="F1522" s="26" t="n">
        <f aca="false">INT(A1522-4/24)</f>
        <v>46312</v>
      </c>
    </row>
    <row r="1523" customFormat="false" ht="15" hidden="false" customHeight="false" outlineLevel="0" collapsed="false">
      <c r="A1523" s="30" t="n">
        <v>46313.0152777778</v>
      </c>
      <c r="B1523" s="31" t="s">
        <v>20</v>
      </c>
      <c r="C1523" s="31"/>
      <c r="D1523" s="31"/>
      <c r="E1523" s="31"/>
      <c r="F1523" s="26" t="n">
        <f aca="false">INT(A1523-4/24)</f>
        <v>46312</v>
      </c>
    </row>
    <row r="1524" customFormat="false" ht="15" hidden="false" customHeight="false" outlineLevel="0" collapsed="false">
      <c r="A1524" s="30" t="n">
        <v>46313.3055555556</v>
      </c>
      <c r="B1524" s="31" t="s">
        <v>79</v>
      </c>
      <c r="C1524" s="31"/>
      <c r="D1524" s="31"/>
      <c r="E1524" s="31"/>
      <c r="F1524" s="26" t="n">
        <f aca="false">INT(A1524-4/24)</f>
        <v>46313</v>
      </c>
    </row>
    <row r="1525" customFormat="false" ht="15" hidden="false" customHeight="false" outlineLevel="0" collapsed="false">
      <c r="A1525" s="30" t="n">
        <v>46313.3125</v>
      </c>
      <c r="B1525" s="31" t="s">
        <v>74</v>
      </c>
      <c r="C1525" s="31"/>
      <c r="D1525" s="31" t="s">
        <v>82</v>
      </c>
      <c r="E1525" s="31"/>
      <c r="F1525" s="26" t="n">
        <f aca="false">INT(A1525-4/24)</f>
        <v>46313</v>
      </c>
    </row>
    <row r="1526" customFormat="false" ht="15" hidden="false" customHeight="false" outlineLevel="0" collapsed="false">
      <c r="A1526" s="30" t="n">
        <v>46313.3243055556</v>
      </c>
      <c r="B1526" s="31" t="s">
        <v>77</v>
      </c>
      <c r="C1526" s="31" t="n">
        <v>6</v>
      </c>
      <c r="D1526" s="31"/>
      <c r="E1526" s="31"/>
      <c r="F1526" s="26" t="n">
        <f aca="false">INT(A1526-4/24)</f>
        <v>46313</v>
      </c>
    </row>
    <row r="1527" customFormat="false" ht="15" hidden="false" customHeight="false" outlineLevel="0" collapsed="false">
      <c r="A1527" s="30" t="n">
        <v>46313.34375</v>
      </c>
      <c r="B1527" s="31" t="s">
        <v>80</v>
      </c>
      <c r="C1527" s="31"/>
      <c r="D1527" s="31"/>
      <c r="E1527" s="31"/>
      <c r="F1527" s="26" t="n">
        <f aca="false">INT(A1527-4/24)</f>
        <v>46313</v>
      </c>
    </row>
    <row r="1528" customFormat="false" ht="15" hidden="false" customHeight="false" outlineLevel="0" collapsed="false">
      <c r="A1528" s="30" t="n">
        <v>46313.3819444445</v>
      </c>
      <c r="B1528" s="31" t="s">
        <v>81</v>
      </c>
      <c r="C1528" s="31"/>
      <c r="D1528" s="31"/>
      <c r="E1528" s="31"/>
      <c r="F1528" s="26" t="n">
        <f aca="false">INT(A1528-4/24)</f>
        <v>46313</v>
      </c>
    </row>
    <row r="1529" customFormat="false" ht="15" hidden="false" customHeight="false" outlineLevel="0" collapsed="false">
      <c r="A1529" s="30" t="n">
        <v>46313.4006944444</v>
      </c>
      <c r="B1529" s="31" t="s">
        <v>75</v>
      </c>
      <c r="C1529" s="31"/>
      <c r="D1529" s="31"/>
      <c r="E1529" s="31"/>
      <c r="F1529" s="26" t="n">
        <f aca="false">INT(A1529-4/24)</f>
        <v>46313</v>
      </c>
    </row>
    <row r="1530" customFormat="false" ht="15" hidden="false" customHeight="false" outlineLevel="0" collapsed="false">
      <c r="A1530" s="30" t="n">
        <v>46313.4513888889</v>
      </c>
      <c r="B1530" s="31" t="s">
        <v>77</v>
      </c>
      <c r="C1530" s="31" t="n">
        <v>5</v>
      </c>
      <c r="D1530" s="31"/>
      <c r="E1530" s="31"/>
      <c r="F1530" s="26" t="n">
        <f aca="false">INT(A1530-4/24)</f>
        <v>46313</v>
      </c>
    </row>
    <row r="1531" customFormat="false" ht="15" hidden="false" customHeight="false" outlineLevel="0" collapsed="false">
      <c r="A1531" s="30" t="n">
        <v>46313.4770833333</v>
      </c>
      <c r="B1531" s="31" t="s">
        <v>74</v>
      </c>
      <c r="C1531" s="31"/>
      <c r="D1531" s="31" t="s">
        <v>82</v>
      </c>
      <c r="E1531" s="31"/>
      <c r="F1531" s="26" t="n">
        <f aca="false">INT(A1531-4/24)</f>
        <v>46313</v>
      </c>
    </row>
    <row r="1532" customFormat="false" ht="15" hidden="false" customHeight="false" outlineLevel="0" collapsed="false">
      <c r="A1532" s="30" t="n">
        <v>46313.5277777778</v>
      </c>
      <c r="B1532" s="31" t="s">
        <v>80</v>
      </c>
      <c r="C1532" s="31"/>
      <c r="D1532" s="31"/>
      <c r="E1532" s="31"/>
      <c r="F1532" s="26" t="n">
        <f aca="false">INT(A1532-4/24)</f>
        <v>46313</v>
      </c>
    </row>
    <row r="1533" customFormat="false" ht="15" hidden="false" customHeight="false" outlineLevel="0" collapsed="false">
      <c r="A1533" s="30" t="n">
        <v>46313.5548611111</v>
      </c>
      <c r="B1533" s="31" t="s">
        <v>81</v>
      </c>
      <c r="C1533" s="31"/>
      <c r="D1533" s="31"/>
      <c r="E1533" s="31"/>
      <c r="F1533" s="26" t="n">
        <f aca="false">INT(A1533-4/24)</f>
        <v>46313</v>
      </c>
    </row>
    <row r="1534" customFormat="false" ht="15" hidden="false" customHeight="false" outlineLevel="0" collapsed="false">
      <c r="A1534" s="30" t="n">
        <v>46313.5548611111</v>
      </c>
      <c r="B1534" s="31" t="s">
        <v>74</v>
      </c>
      <c r="C1534" s="31"/>
      <c r="D1534" s="31" t="s">
        <v>82</v>
      </c>
      <c r="E1534" s="31"/>
      <c r="F1534" s="26" t="n">
        <f aca="false">INT(A1534-4/24)</f>
        <v>46313</v>
      </c>
    </row>
    <row r="1535" customFormat="false" ht="15" hidden="false" customHeight="false" outlineLevel="0" collapsed="false">
      <c r="A1535" s="30" t="n">
        <v>46313.58125</v>
      </c>
      <c r="B1535" s="31" t="s">
        <v>77</v>
      </c>
      <c r="C1535" s="31" t="n">
        <v>5</v>
      </c>
      <c r="D1535" s="31"/>
      <c r="E1535" s="31"/>
      <c r="F1535" s="26" t="n">
        <f aca="false">INT(A1535-4/24)</f>
        <v>46313</v>
      </c>
    </row>
    <row r="1536" customFormat="false" ht="15" hidden="false" customHeight="false" outlineLevel="0" collapsed="false">
      <c r="A1536" s="30" t="n">
        <v>46313.6354166667</v>
      </c>
      <c r="B1536" s="31" t="s">
        <v>80</v>
      </c>
      <c r="C1536" s="31"/>
      <c r="D1536" s="31"/>
      <c r="E1536" s="31"/>
      <c r="F1536" s="26" t="n">
        <f aca="false">INT(A1536-4/24)</f>
        <v>46313</v>
      </c>
    </row>
    <row r="1537" customFormat="false" ht="15" hidden="false" customHeight="false" outlineLevel="0" collapsed="false">
      <c r="A1537" s="30" t="n">
        <v>46313.6625</v>
      </c>
      <c r="B1537" s="31" t="s">
        <v>81</v>
      </c>
      <c r="C1537" s="31"/>
      <c r="D1537" s="31"/>
      <c r="E1537" s="31"/>
      <c r="F1537" s="26" t="n">
        <f aca="false">INT(A1537-4/24)</f>
        <v>46313</v>
      </c>
    </row>
    <row r="1538" customFormat="false" ht="15" hidden="false" customHeight="false" outlineLevel="0" collapsed="false">
      <c r="A1538" s="30" t="n">
        <v>46313.6979166667</v>
      </c>
      <c r="B1538" s="31" t="s">
        <v>75</v>
      </c>
      <c r="C1538" s="31"/>
      <c r="D1538" s="31"/>
      <c r="E1538" s="31"/>
      <c r="F1538" s="26" t="n">
        <f aca="false">INT(A1538-4/24)</f>
        <v>46313</v>
      </c>
    </row>
  </sheetData>
  <autoFilter ref="A4:F15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4" min="3" style="0" width="21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3" t="s">
        <v>86</v>
      </c>
    </row>
    <row r="4" customFormat="false" ht="31.5" hidden="false" customHeight="true" outlineLevel="0" collapsed="false">
      <c r="A4" s="10" t="s">
        <v>73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</row>
    <row r="5" customFormat="false" ht="15" hidden="false" customHeight="false" outlineLevel="0" collapsed="false">
      <c r="A5" s="32" t="n">
        <f aca="false">INT(C5-4/24)</f>
        <v>46248</v>
      </c>
      <c r="B5" s="33" t="s">
        <v>92</v>
      </c>
      <c r="C5" s="34" t="n">
        <v>46249.025</v>
      </c>
      <c r="D5" s="34" t="n">
        <v>46249.3125</v>
      </c>
      <c r="E5" s="35" t="n">
        <f aca="false">(D5-C5)*24</f>
        <v>6.9</v>
      </c>
      <c r="F5" s="35" t="str">
        <f aca="false">""</f>
        <v/>
      </c>
    </row>
    <row r="6" customFormat="false" ht="15" hidden="false" customHeight="false" outlineLevel="0" collapsed="false">
      <c r="A6" s="26" t="n">
        <f aca="false">INT(C6-4/24)</f>
        <v>46249</v>
      </c>
      <c r="B6" s="31" t="s">
        <v>93</v>
      </c>
      <c r="C6" s="30" t="n">
        <v>46249.3694444444</v>
      </c>
      <c r="D6" s="30" t="n">
        <v>46249.4090277778</v>
      </c>
      <c r="E6" s="36" t="n">
        <f aca="false">(D6-C6)*24</f>
        <v>0.95</v>
      </c>
      <c r="F6" s="36" t="n">
        <f aca="false">IF((C6-D5)*24&gt;12,"",(C6-D5)*24)</f>
        <v>1.36666666666667</v>
      </c>
    </row>
    <row r="7" customFormat="false" ht="15" hidden="false" customHeight="false" outlineLevel="0" collapsed="false">
      <c r="A7" s="26" t="n">
        <f aca="false">INT(C7-4/24)</f>
        <v>46249</v>
      </c>
      <c r="B7" s="31" t="s">
        <v>93</v>
      </c>
      <c r="C7" s="30" t="n">
        <v>46249.4694444445</v>
      </c>
      <c r="D7" s="30" t="n">
        <v>46249.5013888889</v>
      </c>
      <c r="E7" s="36" t="n">
        <f aca="false">(D7-C7)*24</f>
        <v>0.766666666666667</v>
      </c>
      <c r="F7" s="36" t="n">
        <f aca="false">IF((C7-D6)*24&gt;12,"",(C7-D6)*24)</f>
        <v>1.45</v>
      </c>
    </row>
    <row r="8" customFormat="false" ht="15" hidden="false" customHeight="false" outlineLevel="0" collapsed="false">
      <c r="A8" s="26" t="n">
        <f aca="false">INT(C8-4/24)</f>
        <v>46249</v>
      </c>
      <c r="B8" s="31" t="s">
        <v>93</v>
      </c>
      <c r="C8" s="30" t="n">
        <v>46249.6097222222</v>
      </c>
      <c r="D8" s="30" t="n">
        <v>46249.6305555556</v>
      </c>
      <c r="E8" s="36" t="n">
        <f aca="false">(D8-C8)*24</f>
        <v>0.5</v>
      </c>
      <c r="F8" s="36" t="n">
        <f aca="false">IF((C8-D7)*24&gt;12,"",(C8-D7)*24)</f>
        <v>2.6</v>
      </c>
    </row>
    <row r="9" customFormat="false" ht="15" hidden="false" customHeight="false" outlineLevel="0" collapsed="false">
      <c r="A9" s="26" t="n">
        <f aca="false">INT(C9-4/24)</f>
        <v>46249</v>
      </c>
      <c r="B9" s="31" t="s">
        <v>93</v>
      </c>
      <c r="C9" s="30" t="n">
        <v>46249.6819444444</v>
      </c>
      <c r="D9" s="30" t="n">
        <v>46249.7118055556</v>
      </c>
      <c r="E9" s="36" t="n">
        <f aca="false">(D9-C9)*24</f>
        <v>0.716666666666667</v>
      </c>
      <c r="F9" s="36" t="n">
        <f aca="false">IF((C9-D8)*24&gt;12,"",(C9-D8)*24)</f>
        <v>1.23333333333333</v>
      </c>
    </row>
    <row r="10" customFormat="false" ht="15" hidden="false" customHeight="false" outlineLevel="0" collapsed="false">
      <c r="A10" s="26" t="n">
        <f aca="false">INT(C10-4/24)</f>
        <v>46249</v>
      </c>
      <c r="B10" s="31" t="s">
        <v>93</v>
      </c>
      <c r="C10" s="30" t="n">
        <v>46249.8770833333</v>
      </c>
      <c r="D10" s="30" t="n">
        <v>46249.9</v>
      </c>
      <c r="E10" s="36" t="n">
        <f aca="false">(D10-C10)*24</f>
        <v>0.55</v>
      </c>
      <c r="F10" s="36" t="n">
        <f aca="false">IF((C10-D9)*24&gt;12,"",(C10-D9)*24)</f>
        <v>3.96666666666667</v>
      </c>
    </row>
    <row r="11" customFormat="false" ht="15" hidden="false" customHeight="false" outlineLevel="0" collapsed="false">
      <c r="A11" s="26" t="n">
        <f aca="false">INT(C11-4/24)</f>
        <v>46249</v>
      </c>
      <c r="B11" s="31" t="s">
        <v>93</v>
      </c>
      <c r="C11" s="30" t="n">
        <v>46249.9659722222</v>
      </c>
      <c r="D11" s="30" t="n">
        <v>46250.0166666667</v>
      </c>
      <c r="E11" s="36" t="n">
        <f aca="false">(D11-C11)*24</f>
        <v>1.21666666666667</v>
      </c>
      <c r="F11" s="36" t="n">
        <f aca="false">IF((C11-D10)*24&gt;12,"",(C11-D10)*24)</f>
        <v>1.58333333333333</v>
      </c>
    </row>
    <row r="12" customFormat="false" ht="15" hidden="false" customHeight="false" outlineLevel="0" collapsed="false">
      <c r="A12" s="32" t="n">
        <f aca="false">INT(C12-4/24)</f>
        <v>46249</v>
      </c>
      <c r="B12" s="33" t="s">
        <v>92</v>
      </c>
      <c r="C12" s="34" t="n">
        <v>46250.0625</v>
      </c>
      <c r="D12" s="34" t="n">
        <v>46250.2541666667</v>
      </c>
      <c r="E12" s="35" t="n">
        <f aca="false">(D12-C12)*24</f>
        <v>4.6</v>
      </c>
      <c r="F12" s="35" t="n">
        <f aca="false">IF((C12-D11)*24&gt;12,"",(C12-D11)*24)</f>
        <v>1.1</v>
      </c>
    </row>
    <row r="13" customFormat="false" ht="15" hidden="false" customHeight="false" outlineLevel="0" collapsed="false">
      <c r="A13" s="26" t="n">
        <f aca="false">INT(C13-4/24)</f>
        <v>46250</v>
      </c>
      <c r="B13" s="31" t="s">
        <v>93</v>
      </c>
      <c r="C13" s="30" t="n">
        <v>46250.7534722222</v>
      </c>
      <c r="D13" s="30" t="n">
        <v>46250.8097222222</v>
      </c>
      <c r="E13" s="36" t="n">
        <f aca="false">(D13-C13)*24</f>
        <v>1.35</v>
      </c>
      <c r="F13" s="36" t="n">
        <f aca="false">IF((C13-D12)*24&gt;12,"",(C13-D12)*24)</f>
        <v>11.9833333333333</v>
      </c>
    </row>
    <row r="14" customFormat="false" ht="15" hidden="false" customHeight="false" outlineLevel="0" collapsed="false">
      <c r="A14" s="32" t="n">
        <f aca="false">INT(C14-4/24)</f>
        <v>46250</v>
      </c>
      <c r="B14" s="33" t="s">
        <v>92</v>
      </c>
      <c r="C14" s="34" t="n">
        <v>46251.0118055556</v>
      </c>
      <c r="D14" s="34" t="n">
        <v>46251.3340277778</v>
      </c>
      <c r="E14" s="35" t="n">
        <f aca="false">(D14-C14)*24</f>
        <v>7.73333333333333</v>
      </c>
      <c r="F14" s="35" t="n">
        <f aca="false">IF((C14-D13)*24&gt;12,"",(C14-D13)*24)</f>
        <v>4.85</v>
      </c>
    </row>
    <row r="15" customFormat="false" ht="15" hidden="false" customHeight="false" outlineLevel="0" collapsed="false">
      <c r="A15" s="26" t="n">
        <f aca="false">INT(C15-4/24)</f>
        <v>46251</v>
      </c>
      <c r="B15" s="31" t="s">
        <v>93</v>
      </c>
      <c r="C15" s="30" t="n">
        <v>46251.4131944445</v>
      </c>
      <c r="D15" s="30" t="n">
        <v>46251.4263888889</v>
      </c>
      <c r="E15" s="36" t="n">
        <f aca="false">(D15-C15)*24</f>
        <v>0.316666666666667</v>
      </c>
      <c r="F15" s="36" t="n">
        <f aca="false">IF((C15-D14)*24&gt;12,"",(C15-D14)*24)</f>
        <v>1.9</v>
      </c>
    </row>
    <row r="16" customFormat="false" ht="15" hidden="false" customHeight="false" outlineLevel="0" collapsed="false">
      <c r="A16" s="26" t="n">
        <f aca="false">INT(C16-4/24)</f>
        <v>46251</v>
      </c>
      <c r="B16" s="31" t="s">
        <v>93</v>
      </c>
      <c r="C16" s="30" t="n">
        <v>46251.5104166667</v>
      </c>
      <c r="D16" s="30" t="n">
        <v>46251.5215277778</v>
      </c>
      <c r="E16" s="36" t="n">
        <f aca="false">(D16-C16)*24</f>
        <v>0.266666667011944</v>
      </c>
      <c r="F16" s="36" t="n">
        <f aca="false">IF((C16-D15)*24&gt;12,"",(C16-D15)*24)</f>
        <v>2.01666666666667</v>
      </c>
    </row>
    <row r="17" customFormat="false" ht="15" hidden="false" customHeight="false" outlineLevel="0" collapsed="false">
      <c r="A17" s="26" t="n">
        <f aca="false">INT(C17-4/24)</f>
        <v>46251</v>
      </c>
      <c r="B17" s="31" t="s">
        <v>93</v>
      </c>
      <c r="C17" s="30" t="n">
        <v>46251.5972222222</v>
      </c>
      <c r="D17" s="30" t="n">
        <v>46251.6104166667</v>
      </c>
      <c r="E17" s="36" t="n">
        <f aca="false">(D17-C17)*24</f>
        <v>0.316666666666667</v>
      </c>
      <c r="F17" s="36" t="n">
        <f aca="false">IF((C17-D16)*24&gt;12,"",(C17-D16)*24)</f>
        <v>1.81666666666667</v>
      </c>
    </row>
    <row r="18" customFormat="false" ht="15" hidden="false" customHeight="false" outlineLevel="0" collapsed="false">
      <c r="A18" s="26" t="n">
        <f aca="false">INT(C18-4/24)</f>
        <v>46251</v>
      </c>
      <c r="B18" s="31" t="s">
        <v>93</v>
      </c>
      <c r="C18" s="30" t="n">
        <v>46251.68125</v>
      </c>
      <c r="D18" s="30" t="n">
        <v>46251.6944444445</v>
      </c>
      <c r="E18" s="36" t="n">
        <f aca="false">(D18-C18)*24</f>
        <v>0.316666666666667</v>
      </c>
      <c r="F18" s="36" t="n">
        <f aca="false">IF((C18-D17)*24&gt;12,"",(C18-D17)*24)</f>
        <v>1.7</v>
      </c>
    </row>
    <row r="19" customFormat="false" ht="15" hidden="false" customHeight="false" outlineLevel="0" collapsed="false">
      <c r="A19" s="26" t="n">
        <f aca="false">INT(C19-4/24)</f>
        <v>46251</v>
      </c>
      <c r="B19" s="31" t="s">
        <v>93</v>
      </c>
      <c r="C19" s="30" t="n">
        <v>46251.7430555556</v>
      </c>
      <c r="D19" s="30" t="n">
        <v>46251.76875</v>
      </c>
      <c r="E19" s="36" t="n">
        <f aca="false">(D19-C19)*24</f>
        <v>0.616666666666667</v>
      </c>
      <c r="F19" s="36" t="n">
        <f aca="false">IF((C19-D18)*24&gt;12,"",(C19-D18)*24)</f>
        <v>1.16666666627861</v>
      </c>
    </row>
    <row r="20" customFormat="false" ht="15" hidden="false" customHeight="false" outlineLevel="0" collapsed="false">
      <c r="A20" s="32" t="n">
        <f aca="false">INT(C20-4/24)</f>
        <v>46251</v>
      </c>
      <c r="B20" s="33" t="s">
        <v>92</v>
      </c>
      <c r="C20" s="34" t="n">
        <v>46252.0069444445</v>
      </c>
      <c r="D20" s="34" t="n">
        <v>46252.2951388889</v>
      </c>
      <c r="E20" s="35" t="n">
        <f aca="false">(D20-C20)*24</f>
        <v>6.91666666666667</v>
      </c>
      <c r="F20" s="35" t="n">
        <f aca="false">IF((C20-D19)*24&gt;12,"",(C20-D19)*24)</f>
        <v>5.71666666666667</v>
      </c>
    </row>
    <row r="21" customFormat="false" ht="15" hidden="false" customHeight="false" outlineLevel="0" collapsed="false">
      <c r="A21" s="26" t="n">
        <f aca="false">INT(C21-4/24)</f>
        <v>46252</v>
      </c>
      <c r="B21" s="31" t="s">
        <v>93</v>
      </c>
      <c r="C21" s="30" t="n">
        <v>46252.3576388889</v>
      </c>
      <c r="D21" s="30" t="n">
        <v>46252.3763888889</v>
      </c>
      <c r="E21" s="36" t="n">
        <f aca="false">(D21-C21)*24</f>
        <v>0.45</v>
      </c>
      <c r="F21" s="36" t="n">
        <f aca="false">IF((C21-D20)*24&gt;12,"",(C21-D20)*24)</f>
        <v>1.5</v>
      </c>
    </row>
    <row r="22" customFormat="false" ht="15" hidden="false" customHeight="false" outlineLevel="0" collapsed="false">
      <c r="A22" s="26" t="n">
        <f aca="false">INT(C22-4/24)</f>
        <v>46252</v>
      </c>
      <c r="B22" s="31" t="s">
        <v>93</v>
      </c>
      <c r="C22" s="30" t="n">
        <v>46252.4833333333</v>
      </c>
      <c r="D22" s="30" t="n">
        <v>46252.5104166667</v>
      </c>
      <c r="E22" s="36" t="n">
        <f aca="false">(D22-C22)*24</f>
        <v>0.65</v>
      </c>
      <c r="F22" s="36" t="n">
        <f aca="false">IF((C22-D21)*24&gt;12,"",(C22-D21)*24)</f>
        <v>2.56666666666667</v>
      </c>
    </row>
    <row r="23" customFormat="false" ht="15" hidden="false" customHeight="false" outlineLevel="0" collapsed="false">
      <c r="A23" s="26" t="n">
        <f aca="false">INT(C23-4/24)</f>
        <v>46252</v>
      </c>
      <c r="B23" s="31" t="s">
        <v>93</v>
      </c>
      <c r="C23" s="30" t="n">
        <v>46252.6631944445</v>
      </c>
      <c r="D23" s="30" t="n">
        <v>46252.6729166667</v>
      </c>
      <c r="E23" s="36" t="n">
        <f aca="false">(D23-C23)*24</f>
        <v>0.233333333333333</v>
      </c>
      <c r="F23" s="36" t="n">
        <f aca="false">IF((C23-D22)*24&gt;12,"",(C23-D22)*24)</f>
        <v>3.66666666709333</v>
      </c>
    </row>
    <row r="24" customFormat="false" ht="15" hidden="false" customHeight="false" outlineLevel="0" collapsed="false">
      <c r="A24" s="26" t="n">
        <f aca="false">INT(C24-4/24)</f>
        <v>46252</v>
      </c>
      <c r="B24" s="31" t="s">
        <v>93</v>
      </c>
      <c r="C24" s="30" t="n">
        <v>46252.7222222222</v>
      </c>
      <c r="D24" s="30" t="n">
        <v>46252.7909722222</v>
      </c>
      <c r="E24" s="36" t="n">
        <f aca="false">(D24-C24)*24</f>
        <v>1.65</v>
      </c>
      <c r="F24" s="36" t="n">
        <f aca="false">IF((C24-D23)*24&gt;12,"",(C24-D23)*24)</f>
        <v>1.18333333333333</v>
      </c>
    </row>
    <row r="25" customFormat="false" ht="15" hidden="false" customHeight="false" outlineLevel="0" collapsed="false">
      <c r="A25" s="26" t="n">
        <f aca="false">INT(C25-4/24)</f>
        <v>46253</v>
      </c>
      <c r="B25" s="31" t="s">
        <v>93</v>
      </c>
      <c r="C25" s="30" t="n">
        <v>46253.4791666667</v>
      </c>
      <c r="D25" s="30" t="n">
        <v>46253.5111111111</v>
      </c>
      <c r="E25" s="36" t="n">
        <f aca="false">(D25-C25)*24</f>
        <v>0.766666666666667</v>
      </c>
      <c r="F25" s="36" t="str">
        <f aca="false">IF((C25-D24)*24&gt;12,"",(C25-D24)*24)</f>
        <v/>
      </c>
    </row>
    <row r="26" customFormat="false" ht="15" hidden="false" customHeight="false" outlineLevel="0" collapsed="false">
      <c r="A26" s="26" t="n">
        <f aca="false">INT(C26-4/24)</f>
        <v>46253</v>
      </c>
      <c r="B26" s="31" t="s">
        <v>93</v>
      </c>
      <c r="C26" s="30" t="n">
        <v>46253.5208333333</v>
      </c>
      <c r="D26" s="30" t="n">
        <v>46253.5416666667</v>
      </c>
      <c r="E26" s="36" t="n">
        <f aca="false">(D26-C26)*24</f>
        <v>0.499999999534167</v>
      </c>
      <c r="F26" s="36" t="n">
        <f aca="false">IF((C26-D25)*24&gt;12,"",(C26-D25)*24)</f>
        <v>0.233333333333333</v>
      </c>
    </row>
    <row r="27" customFormat="false" ht="15" hidden="false" customHeight="false" outlineLevel="0" collapsed="false">
      <c r="A27" s="26" t="n">
        <f aca="false">INT(C27-4/24)</f>
        <v>46253</v>
      </c>
      <c r="B27" s="31" t="s">
        <v>93</v>
      </c>
      <c r="C27" s="30" t="n">
        <v>46253.6395833333</v>
      </c>
      <c r="D27" s="30" t="n">
        <v>46253.6569444445</v>
      </c>
      <c r="E27" s="36" t="n">
        <f aca="false">(D27-C27)*24</f>
        <v>0.416666666666667</v>
      </c>
      <c r="F27" s="36" t="n">
        <f aca="false">IF((C27-D26)*24&gt;12,"",(C27-D26)*24)</f>
        <v>2.35</v>
      </c>
    </row>
    <row r="28" customFormat="false" ht="15" hidden="false" customHeight="false" outlineLevel="0" collapsed="false">
      <c r="A28" s="26" t="n">
        <f aca="false">INT(C28-4/24)</f>
        <v>46253</v>
      </c>
      <c r="B28" s="31" t="s">
        <v>93</v>
      </c>
      <c r="C28" s="30" t="n">
        <v>46253.8125</v>
      </c>
      <c r="D28" s="30" t="n">
        <v>46253.8284722222</v>
      </c>
      <c r="E28" s="36" t="n">
        <f aca="false">(D28-C28)*24</f>
        <v>0.383333333333333</v>
      </c>
      <c r="F28" s="36" t="n">
        <f aca="false">IF((C28-D27)*24&gt;12,"",(C28-D27)*24)</f>
        <v>3.73333333333333</v>
      </c>
    </row>
    <row r="29" customFormat="false" ht="15" hidden="false" customHeight="false" outlineLevel="0" collapsed="false">
      <c r="A29" s="32" t="n">
        <f aca="false">INT(C29-4/24)</f>
        <v>46253</v>
      </c>
      <c r="B29" s="33" t="s">
        <v>92</v>
      </c>
      <c r="C29" s="34" t="n">
        <v>46254.0194444444</v>
      </c>
      <c r="D29" s="34" t="n">
        <v>46254.3194444445</v>
      </c>
      <c r="E29" s="35" t="n">
        <f aca="false">(D29-C29)*24</f>
        <v>7.2</v>
      </c>
      <c r="F29" s="35" t="n">
        <f aca="false">IF((C29-D28)*24&gt;12,"",(C29-D28)*24)</f>
        <v>4.58333333333333</v>
      </c>
    </row>
    <row r="30" customFormat="false" ht="15" hidden="false" customHeight="false" outlineLevel="0" collapsed="false">
      <c r="A30" s="26" t="n">
        <f aca="false">INT(C30-4/24)</f>
        <v>46254</v>
      </c>
      <c r="B30" s="31" t="s">
        <v>93</v>
      </c>
      <c r="C30" s="30" t="n">
        <v>46254.4548611111</v>
      </c>
      <c r="D30" s="30" t="n">
        <v>46254.4756944445</v>
      </c>
      <c r="E30" s="36" t="n">
        <f aca="false">(D30-C30)*24</f>
        <v>0.5</v>
      </c>
      <c r="F30" s="36" t="n">
        <f aca="false">IF((C30-D29)*24&gt;12,"",(C30-D29)*24)</f>
        <v>3.25</v>
      </c>
    </row>
    <row r="31" customFormat="false" ht="15" hidden="false" customHeight="false" outlineLevel="0" collapsed="false">
      <c r="A31" s="26" t="n">
        <f aca="false">INT(C31-4/24)</f>
        <v>46254</v>
      </c>
      <c r="B31" s="31" t="s">
        <v>93</v>
      </c>
      <c r="C31" s="30" t="n">
        <v>46254.8388888889</v>
      </c>
      <c r="D31" s="30" t="n">
        <v>46254.8666666667</v>
      </c>
      <c r="E31" s="36" t="n">
        <f aca="false">(D31-C31)*24</f>
        <v>0.666666666666667</v>
      </c>
      <c r="F31" s="36" t="n">
        <f aca="false">IF((C31-D30)*24&gt;12,"",(C31-D30)*24)</f>
        <v>8.71666666666667</v>
      </c>
    </row>
    <row r="32" customFormat="false" ht="15" hidden="false" customHeight="false" outlineLevel="0" collapsed="false">
      <c r="A32" s="32" t="n">
        <f aca="false">INT(C32-4/24)</f>
        <v>46254</v>
      </c>
      <c r="B32" s="33" t="s">
        <v>92</v>
      </c>
      <c r="C32" s="34" t="n">
        <v>46255.0305555556</v>
      </c>
      <c r="D32" s="34" t="n">
        <v>46255.3645833333</v>
      </c>
      <c r="E32" s="35" t="n">
        <f aca="false">(D32-C32)*24</f>
        <v>8.01666666695361</v>
      </c>
      <c r="F32" s="35" t="n">
        <f aca="false">IF((C32-D31)*24&gt;12,"",(C32-D31)*24)</f>
        <v>3.93333333333333</v>
      </c>
    </row>
    <row r="33" customFormat="false" ht="15" hidden="false" customHeight="false" outlineLevel="0" collapsed="false">
      <c r="A33" s="26" t="n">
        <f aca="false">INT(C33-4/24)</f>
        <v>46255</v>
      </c>
      <c r="B33" s="31" t="s">
        <v>93</v>
      </c>
      <c r="C33" s="30" t="n">
        <v>46255.5895833333</v>
      </c>
      <c r="D33" s="30" t="n">
        <v>46255.6645833333</v>
      </c>
      <c r="E33" s="36" t="n">
        <f aca="false">(D33-C33)*24</f>
        <v>1.8</v>
      </c>
      <c r="F33" s="36" t="n">
        <f aca="false">IF((C33-D32)*24&gt;12,"",(C33-D32)*24)</f>
        <v>5.39999999961556</v>
      </c>
    </row>
    <row r="34" customFormat="false" ht="15" hidden="false" customHeight="false" outlineLevel="0" collapsed="false">
      <c r="A34" s="26" t="n">
        <f aca="false">INT(C34-4/24)</f>
        <v>46255</v>
      </c>
      <c r="B34" s="31" t="s">
        <v>93</v>
      </c>
      <c r="C34" s="30" t="n">
        <v>46255.8333333333</v>
      </c>
      <c r="D34" s="30" t="n">
        <v>46255.875</v>
      </c>
      <c r="E34" s="36" t="n">
        <f aca="false">(D34-C34)*24</f>
        <v>1</v>
      </c>
      <c r="F34" s="36" t="n">
        <f aca="false">IF((C34-D33)*24&gt;12,"",(C34-D33)*24)</f>
        <v>4.05000000027917</v>
      </c>
    </row>
    <row r="35" customFormat="false" ht="15" hidden="false" customHeight="false" outlineLevel="0" collapsed="false">
      <c r="A35" s="32" t="n">
        <f aca="false">INT(C35-4/24)</f>
        <v>46255</v>
      </c>
      <c r="B35" s="33" t="s">
        <v>92</v>
      </c>
      <c r="C35" s="34" t="n">
        <v>46256.0694444445</v>
      </c>
      <c r="D35" s="34" t="n">
        <v>46256.3340277778</v>
      </c>
      <c r="E35" s="35" t="n">
        <f aca="false">(D35-C35)*24</f>
        <v>6.35</v>
      </c>
      <c r="F35" s="35" t="n">
        <f aca="false">IF((C35-D34)*24&gt;12,"",(C35-D34)*24)</f>
        <v>4.66666666666667</v>
      </c>
    </row>
    <row r="36" customFormat="false" ht="15" hidden="false" customHeight="false" outlineLevel="0" collapsed="false">
      <c r="A36" s="26" t="n">
        <f aca="false">INT(C36-4/24)</f>
        <v>46256</v>
      </c>
      <c r="B36" s="31" t="s">
        <v>93</v>
      </c>
      <c r="C36" s="30" t="n">
        <v>46256.3513888889</v>
      </c>
      <c r="D36" s="30" t="n">
        <v>46256.4652777778</v>
      </c>
      <c r="E36" s="36" t="n">
        <f aca="false">(D36-C36)*24</f>
        <v>2.73333333333333</v>
      </c>
      <c r="F36" s="36" t="n">
        <f aca="false">IF((C36-D35)*24&gt;12,"",(C36-D35)*24)</f>
        <v>0.416666666666667</v>
      </c>
    </row>
    <row r="37" customFormat="false" ht="15" hidden="false" customHeight="false" outlineLevel="0" collapsed="false">
      <c r="A37" s="26" t="n">
        <f aca="false">INT(C37-4/24)</f>
        <v>46256</v>
      </c>
      <c r="B37" s="31" t="s">
        <v>93</v>
      </c>
      <c r="C37" s="30" t="n">
        <v>46256.4861111111</v>
      </c>
      <c r="D37" s="30" t="n">
        <v>46256.4958333333</v>
      </c>
      <c r="E37" s="36" t="n">
        <f aca="false">(D37-C37)*24</f>
        <v>0.233333333333333</v>
      </c>
      <c r="F37" s="36" t="n">
        <f aca="false">IF((C37-D36)*24&gt;12,"",(C37-D36)*24)</f>
        <v>0.5</v>
      </c>
    </row>
    <row r="38" customFormat="false" ht="15" hidden="false" customHeight="false" outlineLevel="0" collapsed="false">
      <c r="A38" s="26" t="n">
        <f aca="false">INT(C38-4/24)</f>
        <v>46256</v>
      </c>
      <c r="B38" s="31" t="s">
        <v>93</v>
      </c>
      <c r="C38" s="30" t="n">
        <v>46256.5409722222</v>
      </c>
      <c r="D38" s="30" t="n">
        <v>46256.5625</v>
      </c>
      <c r="E38" s="36" t="n">
        <f aca="false">(D38-C38)*24</f>
        <v>0.516666666666667</v>
      </c>
      <c r="F38" s="36" t="n">
        <f aca="false">IF((C38-D37)*24&gt;12,"",(C38-D37)*24)</f>
        <v>1.08333333333333</v>
      </c>
    </row>
    <row r="39" customFormat="false" ht="15" hidden="false" customHeight="false" outlineLevel="0" collapsed="false">
      <c r="A39" s="26" t="n">
        <f aca="false">INT(C39-4/24)</f>
        <v>46256</v>
      </c>
      <c r="B39" s="31" t="s">
        <v>93</v>
      </c>
      <c r="C39" s="30" t="n">
        <v>46256.65</v>
      </c>
      <c r="D39" s="30" t="n">
        <v>46256.6763888889</v>
      </c>
      <c r="E39" s="36" t="n">
        <f aca="false">(D39-C39)*24</f>
        <v>0.633333333333333</v>
      </c>
      <c r="F39" s="36" t="n">
        <f aca="false">IF((C39-D38)*24&gt;12,"",(C39-D38)*24)</f>
        <v>2.1</v>
      </c>
    </row>
    <row r="40" customFormat="false" ht="15" hidden="false" customHeight="false" outlineLevel="0" collapsed="false">
      <c r="A40" s="26" t="n">
        <f aca="false">INT(C40-4/24)</f>
        <v>46256</v>
      </c>
      <c r="B40" s="31" t="s">
        <v>93</v>
      </c>
      <c r="C40" s="30" t="n">
        <v>46256.7208333333</v>
      </c>
      <c r="D40" s="30" t="n">
        <v>46256.7472222222</v>
      </c>
      <c r="E40" s="36" t="n">
        <f aca="false">(D40-C40)*24</f>
        <v>0.633333333333333</v>
      </c>
      <c r="F40" s="36" t="n">
        <f aca="false">IF((C40-D39)*24&gt;12,"",(C40-D39)*24)</f>
        <v>1.06666666666667</v>
      </c>
    </row>
    <row r="41" customFormat="false" ht="15" hidden="false" customHeight="false" outlineLevel="0" collapsed="false">
      <c r="A41" s="26" t="n">
        <f aca="false">INT(C41-4/24)</f>
        <v>46256</v>
      </c>
      <c r="B41" s="31" t="s">
        <v>93</v>
      </c>
      <c r="C41" s="30" t="n">
        <v>46256.8194444445</v>
      </c>
      <c r="D41" s="30" t="n">
        <v>46256.8298611111</v>
      </c>
      <c r="E41" s="36" t="n">
        <f aca="false">(D41-C41)*24</f>
        <v>0.25</v>
      </c>
      <c r="F41" s="36" t="n">
        <f aca="false">IF((C41-D40)*24&gt;12,"",(C41-D40)*24)</f>
        <v>1.73333333333333</v>
      </c>
    </row>
    <row r="42" customFormat="false" ht="15" hidden="false" customHeight="false" outlineLevel="0" collapsed="false">
      <c r="A42" s="26" t="n">
        <f aca="false">INT(C42-4/24)</f>
        <v>46257</v>
      </c>
      <c r="B42" s="31" t="s">
        <v>93</v>
      </c>
      <c r="C42" s="30" t="n">
        <v>46257.5208333333</v>
      </c>
      <c r="D42" s="30" t="n">
        <v>46257.5451388889</v>
      </c>
      <c r="E42" s="36" t="n">
        <f aca="false">(D42-C42)*24</f>
        <v>0.583333333333333</v>
      </c>
      <c r="F42" s="36" t="str">
        <f aca="false">IF((C42-D41)*24&gt;12,"",(C42-D41)*24)</f>
        <v/>
      </c>
    </row>
    <row r="43" customFormat="false" ht="15" hidden="false" customHeight="false" outlineLevel="0" collapsed="false">
      <c r="A43" s="26" t="n">
        <f aca="false">INT(C43-4/24)</f>
        <v>46257</v>
      </c>
      <c r="B43" s="31" t="s">
        <v>93</v>
      </c>
      <c r="C43" s="30" t="n">
        <v>46257.7638888889</v>
      </c>
      <c r="D43" s="30" t="n">
        <v>46257.8333333333</v>
      </c>
      <c r="E43" s="36" t="n">
        <f aca="false">(D43-C43)*24</f>
        <v>1.66666666666667</v>
      </c>
      <c r="F43" s="36" t="n">
        <f aca="false">IF((C43-D42)*24&gt;12,"",(C43-D42)*24)</f>
        <v>5.25</v>
      </c>
    </row>
    <row r="44" customFormat="false" ht="15" hidden="false" customHeight="false" outlineLevel="0" collapsed="false">
      <c r="A44" s="32" t="n">
        <f aca="false">INT(C44-4/24)</f>
        <v>46257</v>
      </c>
      <c r="B44" s="33" t="s">
        <v>92</v>
      </c>
      <c r="C44" s="34" t="n">
        <v>46258.0263888889</v>
      </c>
      <c r="D44" s="34" t="n">
        <v>46258.2326388889</v>
      </c>
      <c r="E44" s="35" t="n">
        <f aca="false">(D44-C44)*24</f>
        <v>4.95</v>
      </c>
      <c r="F44" s="35" t="n">
        <f aca="false">IF((C44-D43)*24&gt;12,"",(C44-D43)*24)</f>
        <v>4.63333333333333</v>
      </c>
    </row>
    <row r="45" customFormat="false" ht="15" hidden="false" customHeight="false" outlineLevel="0" collapsed="false">
      <c r="A45" s="26" t="n">
        <f aca="false">INT(C45-4/24)</f>
        <v>46258</v>
      </c>
      <c r="B45" s="31" t="s">
        <v>93</v>
      </c>
      <c r="C45" s="30" t="n">
        <v>46258.2847222222</v>
      </c>
      <c r="D45" s="30" t="n">
        <v>46258.2958333333</v>
      </c>
      <c r="E45" s="36" t="n">
        <f aca="false">(D45-C45)*24</f>
        <v>0.266666666666667</v>
      </c>
      <c r="F45" s="36" t="n">
        <f aca="false">IF((C45-D44)*24&gt;12,"",(C45-D44)*24)</f>
        <v>1.25</v>
      </c>
    </row>
    <row r="46" customFormat="false" ht="15" hidden="false" customHeight="false" outlineLevel="0" collapsed="false">
      <c r="A46" s="26" t="n">
        <f aca="false">INT(C46-4/24)</f>
        <v>46258</v>
      </c>
      <c r="B46" s="31" t="s">
        <v>93</v>
      </c>
      <c r="C46" s="30" t="n">
        <v>46258.5291666667</v>
      </c>
      <c r="D46" s="30" t="n">
        <v>46258.5625</v>
      </c>
      <c r="E46" s="36" t="n">
        <f aca="false">(D46-C46)*24</f>
        <v>0.8</v>
      </c>
      <c r="F46" s="36" t="n">
        <f aca="false">IF((C46-D45)*24&gt;12,"",(C46-D45)*24)</f>
        <v>5.6</v>
      </c>
    </row>
    <row r="47" customFormat="false" ht="15" hidden="false" customHeight="false" outlineLevel="0" collapsed="false">
      <c r="A47" s="26" t="n">
        <f aca="false">INT(C47-4/24)</f>
        <v>46258</v>
      </c>
      <c r="B47" s="31" t="s">
        <v>93</v>
      </c>
      <c r="C47" s="30" t="n">
        <v>46258.6090277778</v>
      </c>
      <c r="D47" s="30" t="n">
        <v>46258.6354166667</v>
      </c>
      <c r="E47" s="36" t="n">
        <f aca="false">(D47-C47)*24</f>
        <v>0.633333333333333</v>
      </c>
      <c r="F47" s="36" t="n">
        <f aca="false">IF((C47-D46)*24&gt;12,"",(C47-D46)*24)</f>
        <v>1.11666666666667</v>
      </c>
    </row>
    <row r="48" customFormat="false" ht="15" hidden="false" customHeight="false" outlineLevel="0" collapsed="false">
      <c r="A48" s="26" t="n">
        <f aca="false">INT(C48-4/24)</f>
        <v>46258</v>
      </c>
      <c r="B48" s="31" t="s">
        <v>93</v>
      </c>
      <c r="C48" s="30" t="n">
        <v>46258.6527777778</v>
      </c>
      <c r="D48" s="30" t="n">
        <v>46258.7222222222</v>
      </c>
      <c r="E48" s="36" t="n">
        <f aca="false">(D48-C48)*24</f>
        <v>1.66666666666667</v>
      </c>
      <c r="F48" s="36" t="n">
        <f aca="false">IF((C48-D47)*24&gt;12,"",(C48-D47)*24)</f>
        <v>0.416666666976945</v>
      </c>
    </row>
    <row r="49" customFormat="false" ht="15" hidden="false" customHeight="false" outlineLevel="0" collapsed="false">
      <c r="A49" s="26" t="n">
        <f aca="false">INT(C49-4/24)</f>
        <v>46258</v>
      </c>
      <c r="B49" s="31" t="s">
        <v>93</v>
      </c>
      <c r="C49" s="30" t="n">
        <v>46258.9680555556</v>
      </c>
      <c r="D49" s="30" t="n">
        <v>46258.9979166667</v>
      </c>
      <c r="E49" s="36" t="n">
        <f aca="false">(D49-C49)*24</f>
        <v>0.716666666666667</v>
      </c>
      <c r="F49" s="36" t="n">
        <f aca="false">IF((C49-D48)*24&gt;12,"",(C49-D48)*24)</f>
        <v>5.9</v>
      </c>
    </row>
    <row r="50" customFormat="false" ht="15" hidden="false" customHeight="false" outlineLevel="0" collapsed="false">
      <c r="A50" s="32" t="n">
        <f aca="false">INT(C50-4/24)</f>
        <v>46258</v>
      </c>
      <c r="B50" s="33" t="s">
        <v>92</v>
      </c>
      <c r="C50" s="34" t="n">
        <v>46259.0208333333</v>
      </c>
      <c r="D50" s="34" t="n">
        <v>46259.2930555556</v>
      </c>
      <c r="E50" s="35" t="n">
        <f aca="false">(D50-C50)*24</f>
        <v>6.53333333333333</v>
      </c>
      <c r="F50" s="35" t="n">
        <f aca="false">IF((C50-D49)*24&gt;12,"",(C50-D49)*24)</f>
        <v>0.55</v>
      </c>
    </row>
    <row r="51" customFormat="false" ht="15" hidden="false" customHeight="false" outlineLevel="0" collapsed="false">
      <c r="A51" s="26" t="n">
        <f aca="false">INT(C51-4/24)</f>
        <v>46259</v>
      </c>
      <c r="B51" s="31" t="s">
        <v>93</v>
      </c>
      <c r="C51" s="30" t="n">
        <v>46259.3451388889</v>
      </c>
      <c r="D51" s="30" t="n">
        <v>46259.3791666667</v>
      </c>
      <c r="E51" s="36" t="n">
        <f aca="false">(D51-C51)*24</f>
        <v>0.816666666666667</v>
      </c>
      <c r="F51" s="36" t="n">
        <f aca="false">IF((C51-D50)*24&gt;12,"",(C51-D50)*24)</f>
        <v>1.25</v>
      </c>
    </row>
    <row r="52" customFormat="false" ht="15" hidden="false" customHeight="false" outlineLevel="0" collapsed="false">
      <c r="A52" s="26" t="n">
        <f aca="false">INT(C52-4/24)</f>
        <v>46259</v>
      </c>
      <c r="B52" s="31" t="s">
        <v>93</v>
      </c>
      <c r="C52" s="30" t="n">
        <v>46259.4659722222</v>
      </c>
      <c r="D52" s="30" t="n">
        <v>46259.4791666667</v>
      </c>
      <c r="E52" s="36" t="n">
        <f aca="false">(D52-C52)*24</f>
        <v>0.316666666666667</v>
      </c>
      <c r="F52" s="36" t="n">
        <f aca="false">IF((C52-D51)*24&gt;12,"",(C52-D51)*24)</f>
        <v>2.08333333333333</v>
      </c>
    </row>
    <row r="53" customFormat="false" ht="15" hidden="false" customHeight="false" outlineLevel="0" collapsed="false">
      <c r="A53" s="26" t="n">
        <f aca="false">INT(C53-4/24)</f>
        <v>46259</v>
      </c>
      <c r="B53" s="31" t="s">
        <v>93</v>
      </c>
      <c r="C53" s="30" t="n">
        <v>46259.5527777778</v>
      </c>
      <c r="D53" s="30" t="n">
        <v>46259.5541666667</v>
      </c>
      <c r="E53" s="36" t="n">
        <f aca="false">(D53-C53)*24</f>
        <v>0.0333333333333333</v>
      </c>
      <c r="F53" s="36" t="n">
        <f aca="false">IF((C53-D52)*24&gt;12,"",(C53-D52)*24)</f>
        <v>1.76666666701194</v>
      </c>
    </row>
    <row r="54" customFormat="false" ht="15" hidden="false" customHeight="false" outlineLevel="0" collapsed="false">
      <c r="A54" s="26" t="n">
        <f aca="false">INT(C54-4/24)</f>
        <v>46259</v>
      </c>
      <c r="B54" s="31" t="s">
        <v>93</v>
      </c>
      <c r="C54" s="30" t="n">
        <v>46259.6319444445</v>
      </c>
      <c r="D54" s="30" t="n">
        <v>46259.6666666667</v>
      </c>
      <c r="E54" s="36" t="n">
        <f aca="false">(D54-C54)*24</f>
        <v>0.833333332906389</v>
      </c>
      <c r="F54" s="36" t="n">
        <f aca="false">IF((C54-D53)*24&gt;12,"",(C54-D53)*24)</f>
        <v>1.86666666666667</v>
      </c>
    </row>
    <row r="55" customFormat="false" ht="15" hidden="false" customHeight="false" outlineLevel="0" collapsed="false">
      <c r="A55" s="32" t="n">
        <f aca="false">INT(C55-4/24)</f>
        <v>46259</v>
      </c>
      <c r="B55" s="33" t="s">
        <v>92</v>
      </c>
      <c r="C55" s="34" t="n">
        <v>46260.0020833333</v>
      </c>
      <c r="D55" s="34" t="n">
        <v>46260.2520833333</v>
      </c>
      <c r="E55" s="35" t="n">
        <f aca="false">(D55-C55)*24</f>
        <v>6</v>
      </c>
      <c r="F55" s="35" t="n">
        <f aca="false">IF((C55-D54)*24&gt;12,"",(C55-D54)*24)</f>
        <v>8.05</v>
      </c>
    </row>
    <row r="56" customFormat="false" ht="15" hidden="false" customHeight="false" outlineLevel="0" collapsed="false">
      <c r="A56" s="26" t="n">
        <f aca="false">INT(C56-4/24)</f>
        <v>46260</v>
      </c>
      <c r="B56" s="31" t="s">
        <v>93</v>
      </c>
      <c r="C56" s="30" t="n">
        <v>46260.3020833333</v>
      </c>
      <c r="D56" s="30" t="n">
        <v>46260.3770833333</v>
      </c>
      <c r="E56" s="36" t="n">
        <f aca="false">(D56-C56)*24</f>
        <v>1.8</v>
      </c>
      <c r="F56" s="36" t="n">
        <f aca="false">IF((C56-D55)*24&gt;12,"",(C56-D55)*24)</f>
        <v>1.2</v>
      </c>
    </row>
    <row r="57" customFormat="false" ht="15" hidden="false" customHeight="false" outlineLevel="0" collapsed="false">
      <c r="A57" s="26" t="n">
        <f aca="false">INT(C57-4/24)</f>
        <v>46260</v>
      </c>
      <c r="B57" s="31" t="s">
        <v>93</v>
      </c>
      <c r="C57" s="30" t="n">
        <v>46260.4888888889</v>
      </c>
      <c r="D57" s="30" t="n">
        <v>46260.5138888889</v>
      </c>
      <c r="E57" s="36" t="n">
        <f aca="false">(D57-C57)*24</f>
        <v>0.6</v>
      </c>
      <c r="F57" s="36" t="n">
        <f aca="false">IF((C57-D56)*24&gt;12,"",(C57-D56)*24)</f>
        <v>2.68333333333333</v>
      </c>
    </row>
    <row r="58" customFormat="false" ht="15" hidden="false" customHeight="false" outlineLevel="0" collapsed="false">
      <c r="A58" s="26" t="n">
        <f aca="false">INT(C58-4/24)</f>
        <v>46260</v>
      </c>
      <c r="B58" s="31" t="s">
        <v>93</v>
      </c>
      <c r="C58" s="30" t="n">
        <v>46260.5465277778</v>
      </c>
      <c r="D58" s="30" t="n">
        <v>46260.5708333333</v>
      </c>
      <c r="E58" s="36" t="n">
        <f aca="false">(D58-C58)*24</f>
        <v>0.583333333333333</v>
      </c>
      <c r="F58" s="36" t="n">
        <f aca="false">IF((C58-D57)*24&gt;12,"",(C58-D57)*24)</f>
        <v>0.783333333333333</v>
      </c>
    </row>
    <row r="59" customFormat="false" ht="15" hidden="false" customHeight="false" outlineLevel="0" collapsed="false">
      <c r="A59" s="26" t="n">
        <f aca="false">INT(C59-4/24)</f>
        <v>46260</v>
      </c>
      <c r="B59" s="31" t="s">
        <v>93</v>
      </c>
      <c r="C59" s="30" t="n">
        <v>46260.6270833333</v>
      </c>
      <c r="D59" s="30" t="n">
        <v>46260.6444444444</v>
      </c>
      <c r="E59" s="36" t="n">
        <f aca="false">(D59-C59)*24</f>
        <v>0.416666666666667</v>
      </c>
      <c r="F59" s="36" t="n">
        <f aca="false">IF((C59-D58)*24&gt;12,"",(C59-D58)*24)</f>
        <v>1.35</v>
      </c>
    </row>
    <row r="60" customFormat="false" ht="15" hidden="false" customHeight="false" outlineLevel="0" collapsed="false">
      <c r="A60" s="26" t="n">
        <f aca="false">INT(C60-4/24)</f>
        <v>46260</v>
      </c>
      <c r="B60" s="31" t="s">
        <v>93</v>
      </c>
      <c r="C60" s="30" t="n">
        <v>46260.7326388889</v>
      </c>
      <c r="D60" s="30" t="n">
        <v>46260.75</v>
      </c>
      <c r="E60" s="36" t="n">
        <f aca="false">(D60-C60)*24</f>
        <v>0.416666666666667</v>
      </c>
      <c r="F60" s="36" t="n">
        <f aca="false">IF((C60-D59)*24&gt;12,"",(C60-D59)*24)</f>
        <v>2.11666666666667</v>
      </c>
    </row>
    <row r="61" customFormat="false" ht="15" hidden="false" customHeight="false" outlineLevel="0" collapsed="false">
      <c r="A61" s="26" t="n">
        <f aca="false">INT(C61-4/24)</f>
        <v>46260</v>
      </c>
      <c r="B61" s="31" t="s">
        <v>93</v>
      </c>
      <c r="C61" s="30" t="n">
        <v>46260.9270833333</v>
      </c>
      <c r="D61" s="30" t="n">
        <v>46261.0118055556</v>
      </c>
      <c r="E61" s="36" t="n">
        <f aca="false">(D61-C61)*24</f>
        <v>2.03333333333333</v>
      </c>
      <c r="F61" s="36" t="n">
        <f aca="false">IF((C61-D60)*24&gt;12,"",(C61-D60)*24)</f>
        <v>4.25</v>
      </c>
    </row>
    <row r="62" customFormat="false" ht="15" hidden="false" customHeight="false" outlineLevel="0" collapsed="false">
      <c r="A62" s="32" t="n">
        <f aca="false">INT(C62-4/24)</f>
        <v>46260</v>
      </c>
      <c r="B62" s="33" t="s">
        <v>92</v>
      </c>
      <c r="C62" s="34" t="n">
        <v>46261.0451388889</v>
      </c>
      <c r="D62" s="34" t="n">
        <v>46261.3402777778</v>
      </c>
      <c r="E62" s="35" t="n">
        <f aca="false">(D62-C62)*24</f>
        <v>7.08333333333333</v>
      </c>
      <c r="F62" s="35" t="n">
        <f aca="false">IF((C62-D61)*24&gt;12,"",(C62-D61)*24)</f>
        <v>0.8</v>
      </c>
    </row>
    <row r="63" customFormat="false" ht="15" hidden="false" customHeight="false" outlineLevel="0" collapsed="false">
      <c r="A63" s="26" t="n">
        <f aca="false">INT(C63-4/24)</f>
        <v>46261</v>
      </c>
      <c r="B63" s="31" t="s">
        <v>93</v>
      </c>
      <c r="C63" s="30" t="n">
        <v>46261.4097222222</v>
      </c>
      <c r="D63" s="30" t="n">
        <v>46261.4375</v>
      </c>
      <c r="E63" s="36" t="n">
        <f aca="false">(D63-C63)*24</f>
        <v>0.666666666666667</v>
      </c>
      <c r="F63" s="36" t="n">
        <f aca="false">IF((C63-D62)*24&gt;12,"",(C63-D62)*24)</f>
        <v>1.66666666666667</v>
      </c>
    </row>
    <row r="64" customFormat="false" ht="15" hidden="false" customHeight="false" outlineLevel="0" collapsed="false">
      <c r="A64" s="26" t="n">
        <f aca="false">INT(C64-4/24)</f>
        <v>46261</v>
      </c>
      <c r="B64" s="31" t="s">
        <v>93</v>
      </c>
      <c r="C64" s="30" t="n">
        <v>46261.5381944445</v>
      </c>
      <c r="D64" s="30" t="n">
        <v>46261.5520833333</v>
      </c>
      <c r="E64" s="36" t="n">
        <f aca="false">(D64-C64)*24</f>
        <v>0.333333333333333</v>
      </c>
      <c r="F64" s="36" t="n">
        <f aca="false">IF((C64-D63)*24&gt;12,"",(C64-D63)*24)</f>
        <v>2.41666666666667</v>
      </c>
    </row>
    <row r="65" customFormat="false" ht="15" hidden="false" customHeight="false" outlineLevel="0" collapsed="false">
      <c r="A65" s="26" t="n">
        <f aca="false">INT(C65-4/24)</f>
        <v>46261</v>
      </c>
      <c r="B65" s="31" t="s">
        <v>93</v>
      </c>
      <c r="C65" s="30" t="n">
        <v>46261.6111111111</v>
      </c>
      <c r="D65" s="30" t="n">
        <v>46261.6458333333</v>
      </c>
      <c r="E65" s="36" t="n">
        <f aca="false">(D65-C65)*24</f>
        <v>0.833333333333333</v>
      </c>
      <c r="F65" s="36" t="n">
        <f aca="false">IF((C65-D64)*24&gt;12,"",(C65-D64)*24)</f>
        <v>1.41666666666667</v>
      </c>
    </row>
    <row r="66" customFormat="false" ht="15" hidden="false" customHeight="false" outlineLevel="0" collapsed="false">
      <c r="A66" s="26" t="n">
        <f aca="false">INT(C66-4/24)</f>
        <v>46261</v>
      </c>
      <c r="B66" s="31" t="s">
        <v>93</v>
      </c>
      <c r="C66" s="30" t="n">
        <v>46261.73125</v>
      </c>
      <c r="D66" s="30" t="n">
        <v>46261.75</v>
      </c>
      <c r="E66" s="36" t="n">
        <f aca="false">(D66-C66)*24</f>
        <v>0.45</v>
      </c>
      <c r="F66" s="36" t="n">
        <f aca="false">IF((C66-D65)*24&gt;12,"",(C66-D65)*24)</f>
        <v>2.04999999969722</v>
      </c>
    </row>
    <row r="67" customFormat="false" ht="15" hidden="false" customHeight="false" outlineLevel="0" collapsed="false">
      <c r="A67" s="26" t="n">
        <f aca="false">INT(C67-4/24)</f>
        <v>46261</v>
      </c>
      <c r="B67" s="31" t="s">
        <v>93</v>
      </c>
      <c r="C67" s="30" t="n">
        <v>46261.8590277778</v>
      </c>
      <c r="D67" s="30" t="n">
        <v>46261.8770833333</v>
      </c>
      <c r="E67" s="36" t="n">
        <f aca="false">(D67-C67)*24</f>
        <v>0.433333333333333</v>
      </c>
      <c r="F67" s="36" t="n">
        <f aca="false">IF((C67-D66)*24&gt;12,"",(C67-D66)*24)</f>
        <v>2.61666666666667</v>
      </c>
    </row>
    <row r="68" customFormat="false" ht="15" hidden="false" customHeight="false" outlineLevel="0" collapsed="false">
      <c r="A68" s="32" t="n">
        <f aca="false">INT(C68-4/24)</f>
        <v>46261</v>
      </c>
      <c r="B68" s="33" t="s">
        <v>92</v>
      </c>
      <c r="C68" s="34" t="n">
        <v>46262.0083333333</v>
      </c>
      <c r="D68" s="34" t="n">
        <v>46262.1965277778</v>
      </c>
      <c r="E68" s="35" t="n">
        <f aca="false">(D68-C68)*24</f>
        <v>4.51666666666667</v>
      </c>
      <c r="F68" s="35" t="n">
        <f aca="false">IF((C68-D67)*24&gt;12,"",(C68-D67)*24)</f>
        <v>3.15</v>
      </c>
    </row>
    <row r="69" customFormat="false" ht="15" hidden="false" customHeight="false" outlineLevel="0" collapsed="false">
      <c r="A69" s="32" t="n">
        <f aca="false">INT(C69-4/24)</f>
        <v>46262</v>
      </c>
      <c r="B69" s="33" t="s">
        <v>92</v>
      </c>
      <c r="C69" s="34" t="n">
        <v>46262.2430555556</v>
      </c>
      <c r="D69" s="34" t="n">
        <v>46262.3854166667</v>
      </c>
      <c r="E69" s="35" t="n">
        <f aca="false">(D69-C69)*24</f>
        <v>3.41666666666667</v>
      </c>
      <c r="F69" s="35" t="n">
        <f aca="false">IF((C69-D68)*24&gt;12,"",(C69-D68)*24)</f>
        <v>1.11666666666667</v>
      </c>
    </row>
    <row r="70" customFormat="false" ht="15" hidden="false" customHeight="false" outlineLevel="0" collapsed="false">
      <c r="A70" s="26" t="n">
        <f aca="false">INT(C70-4/24)</f>
        <v>46262</v>
      </c>
      <c r="B70" s="31" t="s">
        <v>93</v>
      </c>
      <c r="C70" s="30" t="n">
        <v>46262.5861111111</v>
      </c>
      <c r="D70" s="30" t="n">
        <v>46262.6145833333</v>
      </c>
      <c r="E70" s="36" t="n">
        <f aca="false">(D70-C70)*24</f>
        <v>0.683333333639722</v>
      </c>
      <c r="F70" s="36" t="n">
        <f aca="false">IF((C70-D69)*24&gt;12,"",(C70-D69)*24)</f>
        <v>4.81666666666667</v>
      </c>
    </row>
    <row r="71" customFormat="false" ht="15" hidden="false" customHeight="false" outlineLevel="0" collapsed="false">
      <c r="A71" s="32" t="n">
        <f aca="false">INT(C71-4/24)</f>
        <v>46262</v>
      </c>
      <c r="B71" s="33" t="s">
        <v>92</v>
      </c>
      <c r="C71" s="34" t="n">
        <v>46263.0305555556</v>
      </c>
      <c r="D71" s="34" t="n">
        <v>46263.2798611111</v>
      </c>
      <c r="E71" s="35" t="n">
        <f aca="false">(D71-C71)*24</f>
        <v>5.98333333333333</v>
      </c>
      <c r="F71" s="35" t="n">
        <f aca="false">IF((C71-D70)*24&gt;12,"",(C71-D70)*24)</f>
        <v>9.98333333304611</v>
      </c>
    </row>
    <row r="72" customFormat="false" ht="15" hidden="false" customHeight="false" outlineLevel="0" collapsed="false">
      <c r="A72" s="26" t="n">
        <f aca="false">INT(C72-4/24)</f>
        <v>46263</v>
      </c>
      <c r="B72" s="31" t="s">
        <v>93</v>
      </c>
      <c r="C72" s="30" t="n">
        <v>46263.5194444444</v>
      </c>
      <c r="D72" s="30" t="n">
        <v>46263.5451388889</v>
      </c>
      <c r="E72" s="36" t="n">
        <f aca="false">(D72-C72)*24</f>
        <v>0.616666666666667</v>
      </c>
      <c r="F72" s="36" t="n">
        <f aca="false">IF((C72-D71)*24&gt;12,"",(C72-D71)*24)</f>
        <v>5.75</v>
      </c>
    </row>
    <row r="73" customFormat="false" ht="15" hidden="false" customHeight="false" outlineLevel="0" collapsed="false">
      <c r="A73" s="32" t="n">
        <f aca="false">INT(C73-4/24)</f>
        <v>46263</v>
      </c>
      <c r="B73" s="33" t="s">
        <v>92</v>
      </c>
      <c r="C73" s="34" t="n">
        <v>46264.0416666667</v>
      </c>
      <c r="D73" s="34" t="n">
        <v>46264.3125</v>
      </c>
      <c r="E73" s="35" t="n">
        <f aca="false">(D73-C73)*24</f>
        <v>6.5</v>
      </c>
      <c r="F73" s="35" t="n">
        <f aca="false">IF((C73-D72)*24&gt;12,"",(C73-D72)*24)</f>
        <v>11.9166666666667</v>
      </c>
    </row>
    <row r="74" customFormat="false" ht="15" hidden="false" customHeight="false" outlineLevel="0" collapsed="false">
      <c r="A74" s="26" t="n">
        <f aca="false">INT(C74-4/24)</f>
        <v>46264</v>
      </c>
      <c r="B74" s="31" t="s">
        <v>93</v>
      </c>
      <c r="C74" s="30" t="n">
        <v>46264.3923611111</v>
      </c>
      <c r="D74" s="30" t="n">
        <v>46264.4965277778</v>
      </c>
      <c r="E74" s="36" t="n">
        <f aca="false">(D74-C74)*24</f>
        <v>2.5</v>
      </c>
      <c r="F74" s="36" t="n">
        <f aca="false">IF((C74-D73)*24&gt;12,"",(C74-D73)*24)</f>
        <v>1.91666666666667</v>
      </c>
    </row>
    <row r="75" customFormat="false" ht="15" hidden="false" customHeight="false" outlineLevel="0" collapsed="false">
      <c r="A75" s="26" t="n">
        <f aca="false">INT(C75-4/24)</f>
        <v>46264</v>
      </c>
      <c r="B75" s="31" t="s">
        <v>93</v>
      </c>
      <c r="C75" s="30" t="n">
        <v>46264.6291666667</v>
      </c>
      <c r="D75" s="30" t="n">
        <v>46264.6388888889</v>
      </c>
      <c r="E75" s="36" t="n">
        <f aca="false">(D75-C75)*24</f>
        <v>0.233333333333333</v>
      </c>
      <c r="F75" s="36" t="n">
        <f aca="false">IF((C75-D74)*24&gt;12,"",(C75-D74)*24)</f>
        <v>3.18333333333333</v>
      </c>
    </row>
    <row r="76" customFormat="false" ht="15" hidden="false" customHeight="false" outlineLevel="0" collapsed="false">
      <c r="A76" s="26" t="n">
        <f aca="false">INT(C76-4/24)</f>
        <v>46264</v>
      </c>
      <c r="B76" s="31" t="s">
        <v>93</v>
      </c>
      <c r="C76" s="30" t="n">
        <v>46264.7180555556</v>
      </c>
      <c r="D76" s="30" t="n">
        <v>46264.8229166667</v>
      </c>
      <c r="E76" s="36" t="n">
        <f aca="false">(D76-C76)*24</f>
        <v>2.51666666666667</v>
      </c>
      <c r="F76" s="36" t="n">
        <f aca="false">IF((C76-D75)*24&gt;12,"",(C76-D75)*24)</f>
        <v>1.9</v>
      </c>
    </row>
    <row r="77" customFormat="false" ht="15" hidden="false" customHeight="false" outlineLevel="0" collapsed="false">
      <c r="A77" s="32" t="n">
        <f aca="false">INT(C77-4/24)</f>
        <v>46264</v>
      </c>
      <c r="B77" s="33" t="s">
        <v>92</v>
      </c>
      <c r="C77" s="34" t="n">
        <v>46265.01875</v>
      </c>
      <c r="D77" s="34" t="n">
        <v>46265.2986111111</v>
      </c>
      <c r="E77" s="35" t="n">
        <f aca="false">(D77-C77)*24</f>
        <v>6.71666666666667</v>
      </c>
      <c r="F77" s="35" t="n">
        <f aca="false">IF((C77-D76)*24&gt;12,"",(C77-D76)*24)</f>
        <v>4.7000000003025</v>
      </c>
    </row>
    <row r="78" customFormat="false" ht="15" hidden="false" customHeight="false" outlineLevel="0" collapsed="false">
      <c r="A78" s="26" t="n">
        <f aca="false">INT(C78-4/24)</f>
        <v>46265</v>
      </c>
      <c r="B78" s="31" t="s">
        <v>93</v>
      </c>
      <c r="C78" s="30" t="n">
        <v>46265.4118055556</v>
      </c>
      <c r="D78" s="30" t="n">
        <v>46265.425</v>
      </c>
      <c r="E78" s="36" t="n">
        <f aca="false">(D78-C78)*24</f>
        <v>0.316666666666667</v>
      </c>
      <c r="F78" s="36" t="n">
        <f aca="false">IF((C78-D77)*24&gt;12,"",(C78-D77)*24)</f>
        <v>2.71666666666667</v>
      </c>
    </row>
    <row r="79" customFormat="false" ht="15" hidden="false" customHeight="false" outlineLevel="0" collapsed="false">
      <c r="A79" s="26" t="n">
        <f aca="false">INT(C79-4/24)</f>
        <v>46265</v>
      </c>
      <c r="B79" s="31" t="s">
        <v>93</v>
      </c>
      <c r="C79" s="30" t="n">
        <v>46265.4902777778</v>
      </c>
      <c r="D79" s="30" t="n">
        <v>46265.5118055556</v>
      </c>
      <c r="E79" s="36" t="n">
        <f aca="false">(D79-C79)*24</f>
        <v>0.516666666666667</v>
      </c>
      <c r="F79" s="36" t="n">
        <f aca="false">IF((C79-D78)*24&gt;12,"",(C79-D78)*24)</f>
        <v>1.56666666666667</v>
      </c>
    </row>
    <row r="80" customFormat="false" ht="15" hidden="false" customHeight="false" outlineLevel="0" collapsed="false">
      <c r="A80" s="26" t="n">
        <f aca="false">INT(C80-4/24)</f>
        <v>46265</v>
      </c>
      <c r="B80" s="31" t="s">
        <v>93</v>
      </c>
      <c r="C80" s="30" t="n">
        <v>46265.6076388889</v>
      </c>
      <c r="D80" s="30" t="n">
        <v>46265.6645833333</v>
      </c>
      <c r="E80" s="36" t="n">
        <f aca="false">(D80-C80)*24</f>
        <v>1.36666666666667</v>
      </c>
      <c r="F80" s="36" t="n">
        <f aca="false">IF((C80-D79)*24&gt;12,"",(C80-D79)*24)</f>
        <v>2.3</v>
      </c>
    </row>
    <row r="81" customFormat="false" ht="15" hidden="false" customHeight="false" outlineLevel="0" collapsed="false">
      <c r="A81" s="26" t="n">
        <f aca="false">INT(C81-4/24)</f>
        <v>46265</v>
      </c>
      <c r="B81" s="31" t="s">
        <v>93</v>
      </c>
      <c r="C81" s="30" t="n">
        <v>46265.875</v>
      </c>
      <c r="D81" s="30" t="n">
        <v>46265.9583333333</v>
      </c>
      <c r="E81" s="36" t="n">
        <f aca="false">(D81-C81)*24</f>
        <v>2</v>
      </c>
      <c r="F81" s="36" t="n">
        <f aca="false">IF((C81-D80)*24&gt;12,"",(C81-D80)*24)</f>
        <v>5.05</v>
      </c>
    </row>
    <row r="82" customFormat="false" ht="15" hidden="false" customHeight="false" outlineLevel="0" collapsed="false">
      <c r="A82" s="32" t="n">
        <f aca="false">INT(C82-4/24)</f>
        <v>46265</v>
      </c>
      <c r="B82" s="33" t="s">
        <v>92</v>
      </c>
      <c r="C82" s="34" t="n">
        <v>46266.0277777778</v>
      </c>
      <c r="D82" s="34" t="n">
        <v>46266.3736111111</v>
      </c>
      <c r="E82" s="35" t="n">
        <f aca="false">(D82-C82)*24</f>
        <v>8.3</v>
      </c>
      <c r="F82" s="35" t="n">
        <f aca="false">IF((C82-D81)*24&gt;12,"",(C82-D81)*24)</f>
        <v>1.66666666666667</v>
      </c>
    </row>
    <row r="83" customFormat="false" ht="15" hidden="false" customHeight="false" outlineLevel="0" collapsed="false">
      <c r="A83" s="26" t="n">
        <f aca="false">INT(C83-4/24)</f>
        <v>46266</v>
      </c>
      <c r="B83" s="31" t="s">
        <v>93</v>
      </c>
      <c r="C83" s="30" t="n">
        <v>46266.4736111111</v>
      </c>
      <c r="D83" s="30" t="n">
        <v>46266.5020833333</v>
      </c>
      <c r="E83" s="36" t="n">
        <f aca="false">(D83-C83)*24</f>
        <v>0.683333333333333</v>
      </c>
      <c r="F83" s="36" t="n">
        <f aca="false">IF((C83-D82)*24&gt;12,"",(C83-D82)*24)</f>
        <v>2.4</v>
      </c>
    </row>
    <row r="84" customFormat="false" ht="15" hidden="false" customHeight="false" outlineLevel="0" collapsed="false">
      <c r="A84" s="26" t="n">
        <f aca="false">INT(C84-4/24)</f>
        <v>46266</v>
      </c>
      <c r="B84" s="31" t="s">
        <v>93</v>
      </c>
      <c r="C84" s="30" t="n">
        <v>46266.6256944445</v>
      </c>
      <c r="D84" s="30" t="n">
        <v>46266.64375</v>
      </c>
      <c r="E84" s="36" t="n">
        <f aca="false">(D84-C84)*24</f>
        <v>0.433333333333333</v>
      </c>
      <c r="F84" s="36" t="n">
        <f aca="false">IF((C84-D83)*24&gt;12,"",(C84-D83)*24)</f>
        <v>2.96666666666667</v>
      </c>
    </row>
    <row r="85" customFormat="false" ht="15" hidden="false" customHeight="false" outlineLevel="0" collapsed="false">
      <c r="A85" s="26" t="n">
        <f aca="false">INT(C85-4/24)</f>
        <v>46266</v>
      </c>
      <c r="B85" s="31" t="s">
        <v>93</v>
      </c>
      <c r="C85" s="30" t="n">
        <v>46266.7430555556</v>
      </c>
      <c r="D85" s="30" t="n">
        <v>46266.7715277778</v>
      </c>
      <c r="E85" s="36" t="n">
        <f aca="false">(D85-C85)*24</f>
        <v>0.683333333639722</v>
      </c>
      <c r="F85" s="36" t="n">
        <f aca="false">IF((C85-D84)*24&gt;12,"",(C85-D84)*24)</f>
        <v>2.38333333333333</v>
      </c>
    </row>
    <row r="86" customFormat="false" ht="15" hidden="false" customHeight="false" outlineLevel="0" collapsed="false">
      <c r="A86" s="32" t="n">
        <f aca="false">INT(C86-4/24)</f>
        <v>46266</v>
      </c>
      <c r="B86" s="33" t="s">
        <v>92</v>
      </c>
      <c r="C86" s="34" t="n">
        <v>46267.0208333333</v>
      </c>
      <c r="D86" s="34" t="n">
        <v>46267.3541666667</v>
      </c>
      <c r="E86" s="35" t="n">
        <f aca="false">(D86-C86)*24</f>
        <v>7.99999999953417</v>
      </c>
      <c r="F86" s="35" t="n">
        <f aca="false">IF((C86-D85)*24&gt;12,"",(C86-D85)*24)</f>
        <v>5.98333333333333</v>
      </c>
    </row>
    <row r="87" customFormat="false" ht="15" hidden="false" customHeight="false" outlineLevel="0" collapsed="false">
      <c r="A87" s="26" t="n">
        <f aca="false">INT(C87-4/24)</f>
        <v>46267</v>
      </c>
      <c r="B87" s="31" t="s">
        <v>93</v>
      </c>
      <c r="C87" s="30" t="n">
        <v>46267.4354166667</v>
      </c>
      <c r="D87" s="30" t="n">
        <v>46267.4444444445</v>
      </c>
      <c r="E87" s="36" t="n">
        <f aca="false">(D87-C87)*24</f>
        <v>0.216666666666667</v>
      </c>
      <c r="F87" s="36" t="n">
        <f aca="false">IF((C87-D86)*24&gt;12,"",(C87-D86)*24)</f>
        <v>1.95</v>
      </c>
    </row>
    <row r="88" customFormat="false" ht="15" hidden="false" customHeight="false" outlineLevel="0" collapsed="false">
      <c r="A88" s="26" t="n">
        <f aca="false">INT(C88-4/24)</f>
        <v>46267</v>
      </c>
      <c r="B88" s="31" t="s">
        <v>93</v>
      </c>
      <c r="C88" s="30" t="n">
        <v>46267.5708333333</v>
      </c>
      <c r="D88" s="30" t="n">
        <v>46267.5784722222</v>
      </c>
      <c r="E88" s="36" t="n">
        <f aca="false">(D88-C88)*24</f>
        <v>0.183333333333333</v>
      </c>
      <c r="F88" s="36" t="n">
        <f aca="false">IF((C88-D87)*24&gt;12,"",(C88-D87)*24)</f>
        <v>3.03333333333333</v>
      </c>
    </row>
    <row r="89" customFormat="false" ht="15" hidden="false" customHeight="false" outlineLevel="0" collapsed="false">
      <c r="A89" s="26" t="n">
        <f aca="false">INT(C89-4/24)</f>
        <v>46267</v>
      </c>
      <c r="B89" s="31" t="s">
        <v>93</v>
      </c>
      <c r="C89" s="30" t="n">
        <v>46267.6402777778</v>
      </c>
      <c r="D89" s="30" t="n">
        <v>46267.6527777778</v>
      </c>
      <c r="E89" s="36" t="n">
        <f aca="false">(D89-C89)*24</f>
        <v>0.3</v>
      </c>
      <c r="F89" s="36" t="n">
        <f aca="false">IF((C89-D88)*24&gt;12,"",(C89-D88)*24)</f>
        <v>1.48333333333333</v>
      </c>
    </row>
    <row r="90" customFormat="false" ht="15" hidden="false" customHeight="false" outlineLevel="0" collapsed="false">
      <c r="A90" s="32" t="n">
        <f aca="false">INT(C90-4/24)</f>
        <v>46267</v>
      </c>
      <c r="B90" s="33" t="s">
        <v>92</v>
      </c>
      <c r="C90" s="34" t="n">
        <v>46268.0395833333</v>
      </c>
      <c r="D90" s="34" t="n">
        <v>46268.3583333333</v>
      </c>
      <c r="E90" s="35" t="n">
        <f aca="false">(D90-C90)*24</f>
        <v>7.65</v>
      </c>
      <c r="F90" s="35" t="n">
        <f aca="false">IF((C90-D89)*24&gt;12,"",(C90-D89)*24)</f>
        <v>9.28333333333333</v>
      </c>
    </row>
    <row r="91" customFormat="false" ht="15" hidden="false" customHeight="false" outlineLevel="0" collapsed="false">
      <c r="A91" s="26" t="n">
        <f aca="false">INT(C91-4/24)</f>
        <v>46268</v>
      </c>
      <c r="B91" s="31" t="s">
        <v>93</v>
      </c>
      <c r="C91" s="30" t="n">
        <v>46268.4201388889</v>
      </c>
      <c r="D91" s="30" t="n">
        <v>46268.4430555556</v>
      </c>
      <c r="E91" s="36" t="n">
        <f aca="false">(D91-C91)*24</f>
        <v>0.55</v>
      </c>
      <c r="F91" s="36" t="n">
        <f aca="false">IF((C91-D90)*24&gt;12,"",(C91-D90)*24)</f>
        <v>1.48333333333333</v>
      </c>
    </row>
    <row r="92" customFormat="false" ht="15" hidden="false" customHeight="false" outlineLevel="0" collapsed="false">
      <c r="A92" s="26" t="n">
        <f aca="false">INT(C92-4/24)</f>
        <v>46268</v>
      </c>
      <c r="B92" s="31" t="s">
        <v>93</v>
      </c>
      <c r="C92" s="30" t="n">
        <v>46268.5833333333</v>
      </c>
      <c r="D92" s="30" t="n">
        <v>46268.6006944445</v>
      </c>
      <c r="E92" s="36" t="n">
        <f aca="false">(D92-C92)*24</f>
        <v>0.416666666666667</v>
      </c>
      <c r="F92" s="36" t="n">
        <f aca="false">IF((C92-D91)*24&gt;12,"",(C92-D91)*24)</f>
        <v>3.36666666666667</v>
      </c>
    </row>
    <row r="93" customFormat="false" ht="15" hidden="false" customHeight="false" outlineLevel="0" collapsed="false">
      <c r="A93" s="26" t="n">
        <f aca="false">INT(C93-4/24)</f>
        <v>46268</v>
      </c>
      <c r="B93" s="31" t="s">
        <v>93</v>
      </c>
      <c r="C93" s="30" t="n">
        <v>46268.6840277778</v>
      </c>
      <c r="D93" s="30" t="n">
        <v>46268.7013888889</v>
      </c>
      <c r="E93" s="36" t="n">
        <f aca="false">(D93-C93)*24</f>
        <v>0.416666666666667</v>
      </c>
      <c r="F93" s="36" t="n">
        <f aca="false">IF((C93-D92)*24&gt;12,"",(C93-D92)*24)</f>
        <v>2</v>
      </c>
    </row>
    <row r="94" customFormat="false" ht="15" hidden="false" customHeight="false" outlineLevel="0" collapsed="false">
      <c r="A94" s="26" t="n">
        <f aca="false">INT(C94-4/24)</f>
        <v>46268</v>
      </c>
      <c r="B94" s="31" t="s">
        <v>93</v>
      </c>
      <c r="C94" s="30" t="n">
        <v>46268.9027777778</v>
      </c>
      <c r="D94" s="30" t="n">
        <v>46268.9527777778</v>
      </c>
      <c r="E94" s="36" t="n">
        <f aca="false">(D94-C94)*24</f>
        <v>1.2</v>
      </c>
      <c r="F94" s="36" t="n">
        <f aca="false">IF((C94-D93)*24&gt;12,"",(C94-D93)*24)</f>
        <v>4.83333333333333</v>
      </c>
    </row>
    <row r="95" customFormat="false" ht="15" hidden="false" customHeight="false" outlineLevel="0" collapsed="false">
      <c r="A95" s="32" t="n">
        <f aca="false">INT(C95-4/24)</f>
        <v>46268</v>
      </c>
      <c r="B95" s="33" t="s">
        <v>92</v>
      </c>
      <c r="C95" s="34" t="n">
        <v>46269.0493055556</v>
      </c>
      <c r="D95" s="34" t="n">
        <v>46269.3402777778</v>
      </c>
      <c r="E95" s="35" t="n">
        <f aca="false">(D95-C95)*24</f>
        <v>6.98333333333333</v>
      </c>
      <c r="F95" s="35" t="n">
        <f aca="false">IF((C95-D94)*24&gt;12,"",(C95-D94)*24)</f>
        <v>2.31666666666667</v>
      </c>
    </row>
    <row r="96" customFormat="false" ht="15" hidden="false" customHeight="false" outlineLevel="0" collapsed="false">
      <c r="A96" s="26" t="n">
        <f aca="false">INT(C96-4/24)</f>
        <v>46269</v>
      </c>
      <c r="B96" s="31" t="s">
        <v>93</v>
      </c>
      <c r="C96" s="30" t="n">
        <v>46269.8666666667</v>
      </c>
      <c r="D96" s="30" t="n">
        <v>46269.8888888889</v>
      </c>
      <c r="E96" s="36" t="n">
        <f aca="false">(D96-C96)*24</f>
        <v>0.533333333333333</v>
      </c>
      <c r="F96" s="36" t="str">
        <f aca="false">IF((C96-D95)*24&gt;12,"",(C96-D95)*24)</f>
        <v/>
      </c>
    </row>
    <row r="97" customFormat="false" ht="15" hidden="false" customHeight="false" outlineLevel="0" collapsed="false">
      <c r="A97" s="26" t="n">
        <f aca="false">INT(C97-4/24)</f>
        <v>46269</v>
      </c>
      <c r="B97" s="31" t="s">
        <v>93</v>
      </c>
      <c r="C97" s="30" t="n">
        <v>46269.9583333333</v>
      </c>
      <c r="D97" s="30" t="n">
        <v>46269.9986111111</v>
      </c>
      <c r="E97" s="36" t="n">
        <f aca="false">(D97-C97)*24</f>
        <v>0.966666666325</v>
      </c>
      <c r="F97" s="36" t="n">
        <f aca="false">IF((C97-D96)*24&gt;12,"",(C97-D96)*24)</f>
        <v>1.66666666666667</v>
      </c>
    </row>
    <row r="98" customFormat="false" ht="15" hidden="false" customHeight="false" outlineLevel="0" collapsed="false">
      <c r="A98" s="26" t="n">
        <f aca="false">INT(C98-4/24)</f>
        <v>46269</v>
      </c>
      <c r="B98" s="31" t="s">
        <v>93</v>
      </c>
      <c r="C98" s="30" t="n">
        <v>46270.0097222222</v>
      </c>
      <c r="D98" s="30" t="n">
        <v>46270.0416666667</v>
      </c>
      <c r="E98" s="36" t="n">
        <f aca="false">(D98-C98)*24</f>
        <v>0.766666666666667</v>
      </c>
      <c r="F98" s="36" t="n">
        <f aca="false">IF((C98-D97)*24&gt;12,"",(C98-D97)*24)</f>
        <v>0.266666666666667</v>
      </c>
    </row>
    <row r="99" customFormat="false" ht="15" hidden="false" customHeight="false" outlineLevel="0" collapsed="false">
      <c r="A99" s="32" t="n">
        <f aca="false">INT(C99-4/24)</f>
        <v>46269</v>
      </c>
      <c r="B99" s="33" t="s">
        <v>92</v>
      </c>
      <c r="C99" s="34" t="n">
        <v>46270.0416666667</v>
      </c>
      <c r="D99" s="34" t="n">
        <v>46270.34375</v>
      </c>
      <c r="E99" s="35" t="n">
        <f aca="false">(D99-C99)*24</f>
        <v>7.25</v>
      </c>
      <c r="F99" s="35" t="n">
        <f aca="false">IF((C99-D98)*24&gt;12,"",(C99-D98)*24)</f>
        <v>0</v>
      </c>
    </row>
    <row r="100" customFormat="false" ht="15" hidden="false" customHeight="false" outlineLevel="0" collapsed="false">
      <c r="A100" s="26" t="n">
        <f aca="false">INT(C100-4/24)</f>
        <v>46270</v>
      </c>
      <c r="B100" s="31" t="s">
        <v>93</v>
      </c>
      <c r="C100" s="30" t="n">
        <v>46270.5923611111</v>
      </c>
      <c r="D100" s="30" t="n">
        <v>46270.6388888889</v>
      </c>
      <c r="E100" s="36" t="n">
        <f aca="false">(D100-C100)*24</f>
        <v>1.11666666666667</v>
      </c>
      <c r="F100" s="36" t="n">
        <f aca="false">IF((C100-D99)*24&gt;12,"",(C100-D99)*24)</f>
        <v>5.96666666666667</v>
      </c>
    </row>
    <row r="101" customFormat="false" ht="15" hidden="false" customHeight="false" outlineLevel="0" collapsed="false">
      <c r="A101" s="26" t="n">
        <f aca="false">INT(C101-4/24)</f>
        <v>46270</v>
      </c>
      <c r="B101" s="31" t="s">
        <v>93</v>
      </c>
      <c r="C101" s="30" t="n">
        <v>46270.8486111111</v>
      </c>
      <c r="D101" s="30" t="n">
        <v>46270.8715277778</v>
      </c>
      <c r="E101" s="36" t="n">
        <f aca="false">(D101-C101)*24</f>
        <v>0.55</v>
      </c>
      <c r="F101" s="36" t="n">
        <f aca="false">IF((C101-D100)*24&gt;12,"",(C101-D100)*24)</f>
        <v>5.03333333333333</v>
      </c>
    </row>
    <row r="102" customFormat="false" ht="15" hidden="false" customHeight="false" outlineLevel="0" collapsed="false">
      <c r="A102" s="32" t="n">
        <f aca="false">INT(C102-4/24)</f>
        <v>46270</v>
      </c>
      <c r="B102" s="33" t="s">
        <v>92</v>
      </c>
      <c r="C102" s="34" t="n">
        <v>46271.0347222222</v>
      </c>
      <c r="D102" s="34" t="n">
        <v>46271.3194444445</v>
      </c>
      <c r="E102" s="35" t="n">
        <f aca="false">(D102-C102)*24</f>
        <v>6.83333333333333</v>
      </c>
      <c r="F102" s="35" t="n">
        <f aca="false">IF((C102-D101)*24&gt;12,"",(C102-D101)*24)</f>
        <v>3.91666666666667</v>
      </c>
    </row>
    <row r="103" customFormat="false" ht="15" hidden="false" customHeight="false" outlineLevel="0" collapsed="false">
      <c r="A103" s="26" t="n">
        <f aca="false">INT(C103-4/24)</f>
        <v>46271</v>
      </c>
      <c r="B103" s="31" t="s">
        <v>93</v>
      </c>
      <c r="C103" s="30" t="n">
        <v>46271.5097222222</v>
      </c>
      <c r="D103" s="30" t="n">
        <v>46271.53125</v>
      </c>
      <c r="E103" s="36" t="n">
        <f aca="false">(D103-C103)*24</f>
        <v>0.516666666666667</v>
      </c>
      <c r="F103" s="36" t="n">
        <f aca="false">IF((C103-D102)*24&gt;12,"",(C103-D102)*24)</f>
        <v>4.56666666636</v>
      </c>
    </row>
    <row r="104" customFormat="false" ht="15" hidden="false" customHeight="false" outlineLevel="0" collapsed="false">
      <c r="A104" s="26" t="n">
        <f aca="false">INT(C104-4/24)</f>
        <v>46271</v>
      </c>
      <c r="B104" s="31" t="s">
        <v>93</v>
      </c>
      <c r="C104" s="30" t="n">
        <v>46271.6076388889</v>
      </c>
      <c r="D104" s="30" t="n">
        <v>46271.7083333333</v>
      </c>
      <c r="E104" s="36" t="n">
        <f aca="false">(D104-C104)*24</f>
        <v>2.41666666666667</v>
      </c>
      <c r="F104" s="36" t="n">
        <f aca="false">IF((C104-D103)*24&gt;12,"",(C104-D103)*24)</f>
        <v>1.83333333333333</v>
      </c>
    </row>
    <row r="105" customFormat="false" ht="15" hidden="false" customHeight="false" outlineLevel="0" collapsed="false">
      <c r="A105" s="26" t="n">
        <f aca="false">INT(C105-4/24)</f>
        <v>46271</v>
      </c>
      <c r="B105" s="31" t="s">
        <v>93</v>
      </c>
      <c r="C105" s="30" t="n">
        <v>46271.8361111111</v>
      </c>
      <c r="D105" s="30" t="n">
        <v>46271.8493055556</v>
      </c>
      <c r="E105" s="36" t="n">
        <f aca="false">(D105-C105)*24</f>
        <v>0.316666666666667</v>
      </c>
      <c r="F105" s="36" t="n">
        <f aca="false">IF((C105-D104)*24&gt;12,"",(C105-D104)*24)</f>
        <v>3.06666666636</v>
      </c>
    </row>
    <row r="106" customFormat="false" ht="15" hidden="false" customHeight="false" outlineLevel="0" collapsed="false">
      <c r="A106" s="32" t="n">
        <f aca="false">INT(C106-4/24)</f>
        <v>46271</v>
      </c>
      <c r="B106" s="33" t="s">
        <v>92</v>
      </c>
      <c r="C106" s="34" t="n">
        <v>46272.01875</v>
      </c>
      <c r="D106" s="34" t="n">
        <v>46272.375</v>
      </c>
      <c r="E106" s="35" t="n">
        <f aca="false">(D106-C106)*24</f>
        <v>8.55</v>
      </c>
      <c r="F106" s="35" t="n">
        <f aca="false">IF((C106-D105)*24&gt;12,"",(C106-D105)*24)</f>
        <v>4.06666666666667</v>
      </c>
    </row>
    <row r="107" customFormat="false" ht="15" hidden="false" customHeight="false" outlineLevel="0" collapsed="false">
      <c r="A107" s="26" t="n">
        <f aca="false">INT(C107-4/24)</f>
        <v>46272</v>
      </c>
      <c r="B107" s="31" t="s">
        <v>93</v>
      </c>
      <c r="C107" s="30" t="n">
        <v>46272.46875</v>
      </c>
      <c r="D107" s="30" t="n">
        <v>46272.4833333333</v>
      </c>
      <c r="E107" s="36" t="n">
        <f aca="false">(D107-C107)*24</f>
        <v>0.35</v>
      </c>
      <c r="F107" s="36" t="n">
        <f aca="false">IF((C107-D106)*24&gt;12,"",(C107-D106)*24)</f>
        <v>2.25</v>
      </c>
    </row>
    <row r="108" customFormat="false" ht="15" hidden="false" customHeight="false" outlineLevel="0" collapsed="false">
      <c r="A108" s="26" t="n">
        <f aca="false">INT(C108-4/24)</f>
        <v>46272</v>
      </c>
      <c r="B108" s="31" t="s">
        <v>93</v>
      </c>
      <c r="C108" s="30" t="n">
        <v>46272.7208333333</v>
      </c>
      <c r="D108" s="30" t="n">
        <v>46272.7333333333</v>
      </c>
      <c r="E108" s="36" t="n">
        <f aca="false">(D108-C108)*24</f>
        <v>0.3</v>
      </c>
      <c r="F108" s="36" t="n">
        <f aca="false">IF((C108-D107)*24&gt;12,"",(C108-D107)*24)</f>
        <v>5.7</v>
      </c>
    </row>
    <row r="109" customFormat="false" ht="15" hidden="false" customHeight="false" outlineLevel="0" collapsed="false">
      <c r="A109" s="26" t="n">
        <f aca="false">INT(C109-4/24)</f>
        <v>46272</v>
      </c>
      <c r="B109" s="31" t="s">
        <v>93</v>
      </c>
      <c r="C109" s="30" t="n">
        <v>46272.75</v>
      </c>
      <c r="D109" s="30" t="n">
        <v>46272.8284722222</v>
      </c>
      <c r="E109" s="36" t="n">
        <f aca="false">(D109-C109)*24</f>
        <v>1.88333333333333</v>
      </c>
      <c r="F109" s="36" t="n">
        <f aca="false">IF((C109-D108)*24&gt;12,"",(C109-D108)*24)</f>
        <v>0.4</v>
      </c>
    </row>
    <row r="110" customFormat="false" ht="15" hidden="false" customHeight="false" outlineLevel="0" collapsed="false">
      <c r="A110" s="32" t="n">
        <f aca="false">INT(C110-4/24)</f>
        <v>46272</v>
      </c>
      <c r="B110" s="33" t="s">
        <v>92</v>
      </c>
      <c r="C110" s="34" t="n">
        <v>46273.0069444445</v>
      </c>
      <c r="D110" s="34" t="n">
        <v>46273.3541666667</v>
      </c>
      <c r="E110" s="35" t="n">
        <f aca="false">(D110-C110)*24</f>
        <v>8.33333333290639</v>
      </c>
      <c r="F110" s="35" t="n">
        <f aca="false">IF((C110-D109)*24&gt;12,"",(C110-D109)*24)</f>
        <v>4.28333333333333</v>
      </c>
    </row>
    <row r="111" customFormat="false" ht="15" hidden="false" customHeight="false" outlineLevel="0" collapsed="false">
      <c r="A111" s="26" t="n">
        <f aca="false">INT(C111-4/24)</f>
        <v>46273</v>
      </c>
      <c r="B111" s="31" t="s">
        <v>93</v>
      </c>
      <c r="C111" s="30" t="n">
        <v>46273.7291666667</v>
      </c>
      <c r="D111" s="30" t="n">
        <v>46273.7534722222</v>
      </c>
      <c r="E111" s="36" t="n">
        <f aca="false">(D111-C111)*24</f>
        <v>0.583333333333333</v>
      </c>
      <c r="F111" s="36" t="n">
        <f aca="false">IF((C111-D110)*24&gt;12,"",(C111-D110)*24)</f>
        <v>9</v>
      </c>
    </row>
    <row r="112" customFormat="false" ht="15" hidden="false" customHeight="false" outlineLevel="0" collapsed="false">
      <c r="A112" s="32" t="n">
        <f aca="false">INT(C112-4/24)</f>
        <v>46273</v>
      </c>
      <c r="B112" s="33" t="s">
        <v>92</v>
      </c>
      <c r="C112" s="34" t="n">
        <v>46274.0104166667</v>
      </c>
      <c r="D112" s="34" t="n">
        <v>46274.3715277778</v>
      </c>
      <c r="E112" s="35" t="n">
        <f aca="false">(D112-C112)*24</f>
        <v>8.66666666697694</v>
      </c>
      <c r="F112" s="35" t="n">
        <f aca="false">IF((C112-D111)*24&gt;12,"",(C112-D111)*24)</f>
        <v>6.16666666666667</v>
      </c>
    </row>
    <row r="113" customFormat="false" ht="15" hidden="false" customHeight="false" outlineLevel="0" collapsed="false">
      <c r="A113" s="26" t="n">
        <f aca="false">INT(C113-4/24)</f>
        <v>46274</v>
      </c>
      <c r="B113" s="31" t="s">
        <v>93</v>
      </c>
      <c r="C113" s="30" t="n">
        <v>46274.5055555556</v>
      </c>
      <c r="D113" s="30" t="n">
        <v>46274.53125</v>
      </c>
      <c r="E113" s="36" t="n">
        <f aca="false">(D113-C113)*24</f>
        <v>0.616666666666667</v>
      </c>
      <c r="F113" s="36" t="n">
        <f aca="false">IF((C113-D112)*24&gt;12,"",(C113-D112)*24)</f>
        <v>3.21666666666667</v>
      </c>
    </row>
    <row r="114" customFormat="false" ht="15" hidden="false" customHeight="false" outlineLevel="0" collapsed="false">
      <c r="A114" s="26" t="n">
        <f aca="false">INT(C114-4/24)</f>
        <v>46274</v>
      </c>
      <c r="B114" s="31" t="s">
        <v>93</v>
      </c>
      <c r="C114" s="30" t="n">
        <v>46274.6840277778</v>
      </c>
      <c r="D114" s="30" t="n">
        <v>46274.7076388889</v>
      </c>
      <c r="E114" s="36" t="n">
        <f aca="false">(D114-C114)*24</f>
        <v>0.566666666666667</v>
      </c>
      <c r="F114" s="36" t="n">
        <f aca="false">IF((C114-D113)*24&gt;12,"",(C114-D113)*24)</f>
        <v>3.66666666666667</v>
      </c>
    </row>
    <row r="115" customFormat="false" ht="15" hidden="false" customHeight="false" outlineLevel="0" collapsed="false">
      <c r="A115" s="26" t="n">
        <f aca="false">INT(C115-4/24)</f>
        <v>46274</v>
      </c>
      <c r="B115" s="31" t="s">
        <v>93</v>
      </c>
      <c r="C115" s="30" t="n">
        <v>46274.8263888889</v>
      </c>
      <c r="D115" s="30" t="n">
        <v>46274.8673611111</v>
      </c>
      <c r="E115" s="36" t="n">
        <f aca="false">(D115-C115)*24</f>
        <v>0.983333333333333</v>
      </c>
      <c r="F115" s="36" t="n">
        <f aca="false">IF((C115-D114)*24&gt;12,"",(C115-D114)*24)</f>
        <v>2.85</v>
      </c>
    </row>
    <row r="116" customFormat="false" ht="15" hidden="false" customHeight="false" outlineLevel="0" collapsed="false">
      <c r="A116" s="26" t="n">
        <f aca="false">INT(C116-4/24)</f>
        <v>46274</v>
      </c>
      <c r="B116" s="31" t="s">
        <v>93</v>
      </c>
      <c r="C116" s="30" t="n">
        <v>46275.0104166667</v>
      </c>
      <c r="D116" s="30" t="n">
        <v>46275.0472222222</v>
      </c>
      <c r="E116" s="36" t="n">
        <f aca="false">(D116-C116)*24</f>
        <v>0.883333333333333</v>
      </c>
      <c r="F116" s="36" t="n">
        <f aca="false">IF((C116-D115)*24&gt;12,"",(C116-D115)*24)</f>
        <v>3.43333333333333</v>
      </c>
    </row>
    <row r="117" customFormat="false" ht="15" hidden="false" customHeight="false" outlineLevel="0" collapsed="false">
      <c r="A117" s="32" t="n">
        <f aca="false">INT(C117-4/24)</f>
        <v>46274</v>
      </c>
      <c r="B117" s="33" t="s">
        <v>92</v>
      </c>
      <c r="C117" s="34" t="n">
        <v>46275.0472222222</v>
      </c>
      <c r="D117" s="34" t="n">
        <v>46275.3333333333</v>
      </c>
      <c r="E117" s="35" t="n">
        <f aca="false">(D117-C117)*24</f>
        <v>6.86666666666667</v>
      </c>
      <c r="F117" s="35" t="n">
        <f aca="false">IF((C117-D116)*24&gt;12,"",(C117-D116)*24)</f>
        <v>0</v>
      </c>
    </row>
    <row r="118" customFormat="false" ht="15" hidden="false" customHeight="false" outlineLevel="0" collapsed="false">
      <c r="A118" s="26" t="n">
        <f aca="false">INT(C118-4/24)</f>
        <v>46275</v>
      </c>
      <c r="B118" s="31" t="s">
        <v>93</v>
      </c>
      <c r="C118" s="30" t="n">
        <v>46275.3493055556</v>
      </c>
      <c r="D118" s="30" t="n">
        <v>46275.375</v>
      </c>
      <c r="E118" s="36" t="n">
        <f aca="false">(D118-C118)*24</f>
        <v>0.616666666666667</v>
      </c>
      <c r="F118" s="36" t="n">
        <f aca="false">IF((C118-D117)*24&gt;12,"",(C118-D117)*24)</f>
        <v>0.383333333333333</v>
      </c>
    </row>
    <row r="119" customFormat="false" ht="15" hidden="false" customHeight="false" outlineLevel="0" collapsed="false">
      <c r="A119" s="26" t="n">
        <f aca="false">INT(C119-4/24)</f>
        <v>46275</v>
      </c>
      <c r="B119" s="31" t="s">
        <v>93</v>
      </c>
      <c r="C119" s="30" t="n">
        <v>46275.46875</v>
      </c>
      <c r="D119" s="30" t="n">
        <v>46275.4798611111</v>
      </c>
      <c r="E119" s="36" t="n">
        <f aca="false">(D119-C119)*24</f>
        <v>0.266666666666667</v>
      </c>
      <c r="F119" s="36" t="n">
        <f aca="false">IF((C119-D118)*24&gt;12,"",(C119-D118)*24)</f>
        <v>2.25</v>
      </c>
    </row>
    <row r="120" customFormat="false" ht="15" hidden="false" customHeight="false" outlineLevel="0" collapsed="false">
      <c r="A120" s="26" t="n">
        <f aca="false">INT(C120-4/24)</f>
        <v>46275</v>
      </c>
      <c r="B120" s="31" t="s">
        <v>93</v>
      </c>
      <c r="C120" s="30" t="n">
        <v>46275.5729166667</v>
      </c>
      <c r="D120" s="30" t="n">
        <v>46275.6236111111</v>
      </c>
      <c r="E120" s="36" t="n">
        <f aca="false">(D120-C120)*24</f>
        <v>1.21666666666667</v>
      </c>
      <c r="F120" s="36" t="n">
        <f aca="false">IF((C120-D119)*24&gt;12,"",(C120-D119)*24)</f>
        <v>2.23333333333333</v>
      </c>
    </row>
    <row r="121" customFormat="false" ht="15" hidden="false" customHeight="false" outlineLevel="0" collapsed="false">
      <c r="A121" s="26" t="n">
        <f aca="false">INT(C121-4/24)</f>
        <v>46275</v>
      </c>
      <c r="B121" s="31" t="s">
        <v>93</v>
      </c>
      <c r="C121" s="30" t="n">
        <v>46275.6402777778</v>
      </c>
      <c r="D121" s="30" t="n">
        <v>46275.6916666667</v>
      </c>
      <c r="E121" s="36" t="n">
        <f aca="false">(D121-C121)*24</f>
        <v>1.23333333333333</v>
      </c>
      <c r="F121" s="36" t="n">
        <f aca="false">IF((C121-D120)*24&gt;12,"",(C121-D120)*24)</f>
        <v>0.4</v>
      </c>
    </row>
    <row r="122" customFormat="false" ht="15" hidden="false" customHeight="false" outlineLevel="0" collapsed="false">
      <c r="A122" s="32" t="n">
        <f aca="false">INT(C122-4/24)</f>
        <v>46275</v>
      </c>
      <c r="B122" s="33" t="s">
        <v>92</v>
      </c>
      <c r="C122" s="34" t="n">
        <v>46276.0145833333</v>
      </c>
      <c r="D122" s="34" t="n">
        <v>46276.2916666667</v>
      </c>
      <c r="E122" s="35" t="n">
        <f aca="false">(D122-C122)*24</f>
        <v>6.65</v>
      </c>
      <c r="F122" s="35" t="n">
        <f aca="false">IF((C122-D121)*24&gt;12,"",(C122-D121)*24)</f>
        <v>7.75</v>
      </c>
    </row>
    <row r="123" customFormat="false" ht="15" hidden="false" customHeight="false" outlineLevel="0" collapsed="false">
      <c r="A123" s="26" t="n">
        <f aca="false">INT(C123-4/24)</f>
        <v>46276</v>
      </c>
      <c r="B123" s="31" t="s">
        <v>93</v>
      </c>
      <c r="C123" s="30" t="n">
        <v>46276.31875</v>
      </c>
      <c r="D123" s="30" t="n">
        <v>46276.5048611111</v>
      </c>
      <c r="E123" s="36" t="n">
        <f aca="false">(D123-C123)*24</f>
        <v>4.46666666666667</v>
      </c>
      <c r="F123" s="36" t="n">
        <f aca="false">IF((C123-D122)*24&gt;12,"",(C123-D122)*24)</f>
        <v>0.65</v>
      </c>
    </row>
    <row r="124" customFormat="false" ht="15" hidden="false" customHeight="false" outlineLevel="0" collapsed="false">
      <c r="A124" s="26" t="n">
        <f aca="false">INT(C124-4/24)</f>
        <v>46276</v>
      </c>
      <c r="B124" s="31" t="s">
        <v>93</v>
      </c>
      <c r="C124" s="30" t="n">
        <v>46276.8402777778</v>
      </c>
      <c r="D124" s="30" t="n">
        <v>46276.8541666667</v>
      </c>
      <c r="E124" s="36" t="n">
        <f aca="false">(D124-C124)*24</f>
        <v>0.333333333022778</v>
      </c>
      <c r="F124" s="36" t="n">
        <f aca="false">IF((C124-D123)*24&gt;12,"",(C124-D123)*24)</f>
        <v>8.05</v>
      </c>
    </row>
    <row r="125" customFormat="false" ht="15" hidden="false" customHeight="false" outlineLevel="0" collapsed="false">
      <c r="A125" s="32" t="n">
        <f aca="false">INT(C125-4/24)</f>
        <v>46276</v>
      </c>
      <c r="B125" s="33" t="s">
        <v>92</v>
      </c>
      <c r="C125" s="34" t="n">
        <v>46277.0298611111</v>
      </c>
      <c r="D125" s="34" t="n">
        <v>46277.3694444444</v>
      </c>
      <c r="E125" s="35" t="n">
        <f aca="false">(D125-C125)*24</f>
        <v>8.15</v>
      </c>
      <c r="F125" s="35" t="n">
        <f aca="false">IF((C125-D124)*24&gt;12,"",(C125-D124)*24)</f>
        <v>4.21666666666667</v>
      </c>
    </row>
    <row r="126" customFormat="false" ht="15" hidden="false" customHeight="false" outlineLevel="0" collapsed="false">
      <c r="A126" s="26" t="n">
        <f aca="false">INT(C126-4/24)</f>
        <v>46277</v>
      </c>
      <c r="B126" s="31" t="s">
        <v>93</v>
      </c>
      <c r="C126" s="30" t="n">
        <v>46277.6979166667</v>
      </c>
      <c r="D126" s="30" t="n">
        <v>46277.725</v>
      </c>
      <c r="E126" s="36" t="n">
        <f aca="false">(D126-C126)*24</f>
        <v>0.65</v>
      </c>
      <c r="F126" s="36" t="n">
        <f aca="false">IF((C126-D125)*24&gt;12,"",(C126-D125)*24)</f>
        <v>7.88333333333333</v>
      </c>
    </row>
    <row r="127" customFormat="false" ht="15" hidden="false" customHeight="false" outlineLevel="0" collapsed="false">
      <c r="A127" s="26" t="n">
        <f aca="false">INT(C127-4/24)</f>
        <v>46277</v>
      </c>
      <c r="B127" s="31" t="s">
        <v>93</v>
      </c>
      <c r="C127" s="30" t="n">
        <v>46277.7680555556</v>
      </c>
      <c r="D127" s="30" t="n">
        <v>46277.8402777778</v>
      </c>
      <c r="E127" s="36" t="n">
        <f aca="false">(D127-C127)*24</f>
        <v>1.73333333333333</v>
      </c>
      <c r="F127" s="36" t="n">
        <f aca="false">IF((C127-D126)*24&gt;12,"",(C127-D126)*24)</f>
        <v>1.03333333333333</v>
      </c>
    </row>
    <row r="128" customFormat="false" ht="15" hidden="false" customHeight="false" outlineLevel="0" collapsed="false">
      <c r="A128" s="32" t="n">
        <f aca="false">INT(C128-4/24)</f>
        <v>46277</v>
      </c>
      <c r="B128" s="33" t="s">
        <v>92</v>
      </c>
      <c r="C128" s="34" t="n">
        <v>46278.0569444444</v>
      </c>
      <c r="D128" s="34" t="n">
        <v>46278.2743055556</v>
      </c>
      <c r="E128" s="35" t="n">
        <f aca="false">(D128-C128)*24</f>
        <v>5.21666666666667</v>
      </c>
      <c r="F128" s="35" t="n">
        <f aca="false">IF((C128-D127)*24&gt;12,"",(C128-D127)*24)</f>
        <v>5.2</v>
      </c>
    </row>
    <row r="129" customFormat="false" ht="15" hidden="false" customHeight="false" outlineLevel="0" collapsed="false">
      <c r="A129" s="26" t="n">
        <f aca="false">INT(C129-4/24)</f>
        <v>46278</v>
      </c>
      <c r="B129" s="31" t="s">
        <v>93</v>
      </c>
      <c r="C129" s="30" t="n">
        <v>46278.3347222222</v>
      </c>
      <c r="D129" s="30" t="n">
        <v>46278.4659722222</v>
      </c>
      <c r="E129" s="36" t="n">
        <f aca="false">(D129-C129)*24</f>
        <v>3.15</v>
      </c>
      <c r="F129" s="36" t="n">
        <f aca="false">IF((C129-D128)*24&gt;12,"",(C129-D128)*24)</f>
        <v>1.45</v>
      </c>
    </row>
    <row r="130" customFormat="false" ht="15" hidden="false" customHeight="false" outlineLevel="0" collapsed="false">
      <c r="A130" s="26" t="n">
        <f aca="false">INT(C130-4/24)</f>
        <v>46278</v>
      </c>
      <c r="B130" s="31" t="s">
        <v>93</v>
      </c>
      <c r="C130" s="30" t="n">
        <v>46278.6770833333</v>
      </c>
      <c r="D130" s="30" t="n">
        <v>46278.7715277778</v>
      </c>
      <c r="E130" s="36" t="n">
        <f aca="false">(D130-C130)*24</f>
        <v>2.26666666666667</v>
      </c>
      <c r="F130" s="36" t="n">
        <f aca="false">IF((C130-D129)*24&gt;12,"",(C130-D129)*24)</f>
        <v>5.06666666666667</v>
      </c>
    </row>
    <row r="131" customFormat="false" ht="15" hidden="false" customHeight="false" outlineLevel="0" collapsed="false">
      <c r="A131" s="26" t="n">
        <f aca="false">INT(C131-4/24)</f>
        <v>46278</v>
      </c>
      <c r="B131" s="31" t="s">
        <v>93</v>
      </c>
      <c r="C131" s="30" t="n">
        <v>46279.0236111111</v>
      </c>
      <c r="D131" s="30" t="n">
        <v>46279.0548611111</v>
      </c>
      <c r="E131" s="36" t="n">
        <f aca="false">(D131-C131)*24</f>
        <v>0.75</v>
      </c>
      <c r="F131" s="36" t="n">
        <f aca="false">IF((C131-D130)*24&gt;12,"",(C131-D130)*24)</f>
        <v>6.05</v>
      </c>
    </row>
    <row r="132" customFormat="false" ht="15" hidden="false" customHeight="false" outlineLevel="0" collapsed="false">
      <c r="A132" s="32" t="n">
        <f aca="false">INT(C132-4/24)</f>
        <v>46278</v>
      </c>
      <c r="B132" s="33" t="s">
        <v>92</v>
      </c>
      <c r="C132" s="34" t="n">
        <v>46279.0548611111</v>
      </c>
      <c r="D132" s="34" t="n">
        <v>46279.1875</v>
      </c>
      <c r="E132" s="35" t="n">
        <f aca="false">(D132-C132)*24</f>
        <v>3.18333333333333</v>
      </c>
      <c r="F132" s="35" t="n">
        <f aca="false">IF((C132-D131)*24&gt;12,"",(C132-D131)*24)</f>
        <v>0</v>
      </c>
    </row>
    <row r="133" customFormat="false" ht="15" hidden="false" customHeight="false" outlineLevel="0" collapsed="false">
      <c r="A133" s="26" t="n">
        <f aca="false">INT(C133-4/24)</f>
        <v>46279</v>
      </c>
      <c r="B133" s="31" t="s">
        <v>93</v>
      </c>
      <c r="C133" s="30" t="n">
        <v>46279.2604166667</v>
      </c>
      <c r="D133" s="30" t="n">
        <v>46279.4097222222</v>
      </c>
      <c r="E133" s="36" t="n">
        <f aca="false">(D133-C133)*24</f>
        <v>3.58333333333333</v>
      </c>
      <c r="F133" s="36" t="n">
        <f aca="false">IF((C133-D132)*24&gt;12,"",(C133-D132)*24)</f>
        <v>1.75</v>
      </c>
    </row>
    <row r="134" customFormat="false" ht="15" hidden="false" customHeight="false" outlineLevel="0" collapsed="false">
      <c r="A134" s="26" t="n">
        <f aca="false">INT(C134-4/24)</f>
        <v>46279</v>
      </c>
      <c r="B134" s="31" t="s">
        <v>93</v>
      </c>
      <c r="C134" s="30" t="n">
        <v>46279.5569444444</v>
      </c>
      <c r="D134" s="30" t="n">
        <v>46279.5993055556</v>
      </c>
      <c r="E134" s="36" t="n">
        <f aca="false">(D134-C134)*24</f>
        <v>1.01666666666667</v>
      </c>
      <c r="F134" s="36" t="n">
        <f aca="false">IF((C134-D133)*24&gt;12,"",(C134-D133)*24)</f>
        <v>3.53333333333333</v>
      </c>
    </row>
    <row r="135" customFormat="false" ht="15" hidden="false" customHeight="false" outlineLevel="0" collapsed="false">
      <c r="A135" s="26" t="n">
        <f aca="false">INT(C135-4/24)</f>
        <v>46279</v>
      </c>
      <c r="B135" s="31" t="s">
        <v>93</v>
      </c>
      <c r="C135" s="30" t="n">
        <v>46279.8256944444</v>
      </c>
      <c r="D135" s="30" t="n">
        <v>46279.8923611111</v>
      </c>
      <c r="E135" s="36" t="n">
        <f aca="false">(D135-C135)*24</f>
        <v>1.6</v>
      </c>
      <c r="F135" s="36" t="n">
        <f aca="false">IF((C135-D134)*24&gt;12,"",(C135-D134)*24)</f>
        <v>5.43333333333333</v>
      </c>
    </row>
    <row r="136" customFormat="false" ht="15" hidden="false" customHeight="false" outlineLevel="0" collapsed="false">
      <c r="A136" s="32" t="n">
        <f aca="false">INT(C136-4/24)</f>
        <v>46279</v>
      </c>
      <c r="B136" s="33" t="s">
        <v>92</v>
      </c>
      <c r="C136" s="34" t="n">
        <v>46280.0208333333</v>
      </c>
      <c r="D136" s="34" t="n">
        <v>46280.2708333333</v>
      </c>
      <c r="E136" s="35" t="n">
        <f aca="false">(D136-C136)*24</f>
        <v>6</v>
      </c>
      <c r="F136" s="35" t="n">
        <f aca="false">IF((C136-D135)*24&gt;12,"",(C136-D135)*24)</f>
        <v>3.08333333333333</v>
      </c>
    </row>
    <row r="137" customFormat="false" ht="15" hidden="false" customHeight="false" outlineLevel="0" collapsed="false">
      <c r="A137" s="32" t="n">
        <f aca="false">INT(C137-4/24)</f>
        <v>46280</v>
      </c>
      <c r="B137" s="33" t="s">
        <v>92</v>
      </c>
      <c r="C137" s="34" t="n">
        <v>46281.0208333333</v>
      </c>
      <c r="D137" s="34" t="n">
        <v>46281.2708333333</v>
      </c>
      <c r="E137" s="35" t="n">
        <f aca="false">(D137-C137)*24</f>
        <v>6</v>
      </c>
      <c r="F137" s="35" t="str">
        <f aca="false">IF((C137-D136)*24&gt;12,"",(C137-D136)*24)</f>
        <v/>
      </c>
    </row>
    <row r="138" customFormat="false" ht="15" hidden="false" customHeight="false" outlineLevel="0" collapsed="false">
      <c r="A138" s="26" t="n">
        <f aca="false">INT(C138-4/24)</f>
        <v>46281</v>
      </c>
      <c r="B138" s="31" t="s">
        <v>93</v>
      </c>
      <c r="C138" s="30" t="n">
        <v>46281.7256944445</v>
      </c>
      <c r="D138" s="30" t="n">
        <v>46281.7569444445</v>
      </c>
      <c r="E138" s="36" t="n">
        <f aca="false">(D138-C138)*24</f>
        <v>0.75</v>
      </c>
      <c r="F138" s="36" t="n">
        <f aca="false">IF((C138-D137)*24&gt;12,"",(C138-D137)*24)</f>
        <v>10.9166666666667</v>
      </c>
    </row>
    <row r="139" customFormat="false" ht="15" hidden="false" customHeight="false" outlineLevel="0" collapsed="false">
      <c r="A139" s="32" t="n">
        <f aca="false">INT(C139-4/24)</f>
        <v>46281</v>
      </c>
      <c r="B139" s="33" t="s">
        <v>92</v>
      </c>
      <c r="C139" s="34" t="n">
        <v>46282.03125</v>
      </c>
      <c r="D139" s="34" t="n">
        <v>46282.28125</v>
      </c>
      <c r="E139" s="35" t="n">
        <f aca="false">(D139-C139)*24</f>
        <v>6</v>
      </c>
      <c r="F139" s="35" t="n">
        <f aca="false">IF((C139-D138)*24&gt;12,"",(C139-D138)*24)</f>
        <v>6.58333333333333</v>
      </c>
    </row>
    <row r="140" customFormat="false" ht="15" hidden="false" customHeight="false" outlineLevel="0" collapsed="false">
      <c r="A140" s="26" t="n">
        <f aca="false">INT(C140-4/24)</f>
        <v>46282</v>
      </c>
      <c r="B140" s="31" t="s">
        <v>93</v>
      </c>
      <c r="C140" s="30" t="n">
        <v>46282.3333333333</v>
      </c>
      <c r="D140" s="30" t="n">
        <v>46282.4513888889</v>
      </c>
      <c r="E140" s="36" t="n">
        <f aca="false">(D140-C140)*24</f>
        <v>2.83333333333333</v>
      </c>
      <c r="F140" s="36" t="n">
        <f aca="false">IF((C140-D139)*24&gt;12,"",(C140-D139)*24)</f>
        <v>1.25</v>
      </c>
    </row>
    <row r="141" customFormat="false" ht="15" hidden="false" customHeight="false" outlineLevel="0" collapsed="false">
      <c r="A141" s="26" t="n">
        <f aca="false">INT(C141-4/24)</f>
        <v>46282</v>
      </c>
      <c r="B141" s="31" t="s">
        <v>93</v>
      </c>
      <c r="C141" s="30" t="n">
        <v>46282.7777777778</v>
      </c>
      <c r="D141" s="30" t="n">
        <v>46282.8201388889</v>
      </c>
      <c r="E141" s="36" t="n">
        <f aca="false">(D141-C141)*24</f>
        <v>1.01666666666667</v>
      </c>
      <c r="F141" s="36" t="n">
        <f aca="false">IF((C141-D140)*24&gt;12,"",(C141-D140)*24)</f>
        <v>7.83333333333333</v>
      </c>
    </row>
    <row r="142" customFormat="false" ht="15" hidden="false" customHeight="false" outlineLevel="0" collapsed="false">
      <c r="A142" s="32" t="n">
        <f aca="false">INT(C142-4/24)</f>
        <v>46282</v>
      </c>
      <c r="B142" s="33" t="s">
        <v>92</v>
      </c>
      <c r="C142" s="34" t="n">
        <v>46283.0416666667</v>
      </c>
      <c r="D142" s="34" t="n">
        <v>46283.3333333333</v>
      </c>
      <c r="E142" s="35" t="n">
        <f aca="false">(D142-C142)*24</f>
        <v>7.00000000046556</v>
      </c>
      <c r="F142" s="35" t="n">
        <f aca="false">IF((C142-D141)*24&gt;12,"",(C142-D141)*24)</f>
        <v>5.31666666636</v>
      </c>
    </row>
    <row r="143" customFormat="false" ht="15" hidden="false" customHeight="false" outlineLevel="0" collapsed="false">
      <c r="A143" s="26" t="n">
        <f aca="false">INT(C143-4/24)</f>
        <v>46283</v>
      </c>
      <c r="B143" s="31" t="s">
        <v>93</v>
      </c>
      <c r="C143" s="30" t="n">
        <v>46283.9965277778</v>
      </c>
      <c r="D143" s="30" t="n">
        <v>46284.0375</v>
      </c>
      <c r="E143" s="36" t="n">
        <f aca="false">(D143-C143)*24</f>
        <v>0.983333333333333</v>
      </c>
      <c r="F143" s="36" t="str">
        <f aca="false">IF((C143-D142)*24&gt;12,"",(C143-D142)*24)</f>
        <v/>
      </c>
    </row>
    <row r="144" customFormat="false" ht="15" hidden="false" customHeight="false" outlineLevel="0" collapsed="false">
      <c r="A144" s="32" t="n">
        <f aca="false">INT(C144-4/24)</f>
        <v>46283</v>
      </c>
      <c r="B144" s="33" t="s">
        <v>92</v>
      </c>
      <c r="C144" s="34" t="n">
        <v>46284.0375</v>
      </c>
      <c r="D144" s="34" t="n">
        <v>46284.3375</v>
      </c>
      <c r="E144" s="35" t="n">
        <f aca="false">(D144-C144)*24</f>
        <v>7.2</v>
      </c>
      <c r="F144" s="35" t="n">
        <f aca="false">IF((C144-D143)*24&gt;12,"",(C144-D143)*24)</f>
        <v>0</v>
      </c>
    </row>
    <row r="145" customFormat="false" ht="15" hidden="false" customHeight="false" outlineLevel="0" collapsed="false">
      <c r="A145" s="26" t="n">
        <f aca="false">INT(C145-4/24)</f>
        <v>46284</v>
      </c>
      <c r="B145" s="31" t="s">
        <v>93</v>
      </c>
      <c r="C145" s="30" t="n">
        <v>46284.4111111111</v>
      </c>
      <c r="D145" s="30" t="n">
        <v>46284.43125</v>
      </c>
      <c r="E145" s="36" t="n">
        <f aca="false">(D145-C145)*24</f>
        <v>0.483333333333333</v>
      </c>
      <c r="F145" s="36" t="n">
        <f aca="false">IF((C145-D144)*24&gt;12,"",(C145-D144)*24)</f>
        <v>1.76666666666667</v>
      </c>
    </row>
    <row r="146" customFormat="false" ht="15" hidden="false" customHeight="false" outlineLevel="0" collapsed="false">
      <c r="A146" s="26" t="n">
        <f aca="false">INT(C146-4/24)</f>
        <v>46284</v>
      </c>
      <c r="B146" s="31" t="s">
        <v>93</v>
      </c>
      <c r="C146" s="30" t="n">
        <v>46284.4930555556</v>
      </c>
      <c r="D146" s="30" t="n">
        <v>46284.5881944444</v>
      </c>
      <c r="E146" s="36" t="n">
        <f aca="false">(D146-C146)*24</f>
        <v>2.28333333333333</v>
      </c>
      <c r="F146" s="36" t="n">
        <f aca="false">IF((C146-D145)*24&gt;12,"",(C146-D145)*24)</f>
        <v>1.48333333333333</v>
      </c>
    </row>
    <row r="147" customFormat="false" ht="15" hidden="false" customHeight="false" outlineLevel="0" collapsed="false">
      <c r="A147" s="26" t="n">
        <f aca="false">INT(C147-4/24)</f>
        <v>46284</v>
      </c>
      <c r="B147" s="31" t="s">
        <v>93</v>
      </c>
      <c r="C147" s="30" t="n">
        <v>46284.8423611111</v>
      </c>
      <c r="D147" s="30" t="n">
        <v>46284.8902777778</v>
      </c>
      <c r="E147" s="36" t="n">
        <f aca="false">(D147-C147)*24</f>
        <v>1.15</v>
      </c>
      <c r="F147" s="36" t="n">
        <f aca="false">IF((C147-D146)*24&gt;12,"",(C147-D146)*24)</f>
        <v>6.1</v>
      </c>
    </row>
    <row r="148" customFormat="false" ht="15" hidden="false" customHeight="false" outlineLevel="0" collapsed="false">
      <c r="A148" s="32" t="n">
        <f aca="false">INT(C148-4/24)</f>
        <v>46284</v>
      </c>
      <c r="B148" s="33" t="s">
        <v>92</v>
      </c>
      <c r="C148" s="34" t="n">
        <v>46285.0798611111</v>
      </c>
      <c r="D148" s="34" t="n">
        <v>46285.3777777778</v>
      </c>
      <c r="E148" s="35" t="n">
        <f aca="false">(D148-C148)*24</f>
        <v>7.15</v>
      </c>
      <c r="F148" s="35" t="n">
        <f aca="false">IF((C148-D147)*24&gt;12,"",(C148-D147)*24)</f>
        <v>4.55</v>
      </c>
    </row>
    <row r="149" customFormat="false" ht="15" hidden="false" customHeight="false" outlineLevel="0" collapsed="false">
      <c r="A149" s="26" t="n">
        <f aca="false">INT(C149-4/24)</f>
        <v>46285</v>
      </c>
      <c r="B149" s="31" t="s">
        <v>93</v>
      </c>
      <c r="C149" s="30" t="n">
        <v>46285.5902777778</v>
      </c>
      <c r="D149" s="30" t="n">
        <v>46285.6111111111</v>
      </c>
      <c r="E149" s="36" t="n">
        <f aca="false">(D149-C149)*24</f>
        <v>0.5</v>
      </c>
      <c r="F149" s="36" t="n">
        <f aca="false">IF((C149-D148)*24&gt;12,"",(C149-D148)*24)</f>
        <v>5.1</v>
      </c>
    </row>
    <row r="150" customFormat="false" ht="15" hidden="false" customHeight="false" outlineLevel="0" collapsed="false">
      <c r="A150" s="26" t="n">
        <f aca="false">INT(C150-4/24)</f>
        <v>46285</v>
      </c>
      <c r="B150" s="31" t="s">
        <v>93</v>
      </c>
      <c r="C150" s="30" t="n">
        <v>46285.7465277778</v>
      </c>
      <c r="D150" s="30" t="n">
        <v>46285.7708333333</v>
      </c>
      <c r="E150" s="36" t="n">
        <f aca="false">(D150-C150)*24</f>
        <v>0.583333333333333</v>
      </c>
      <c r="F150" s="36" t="n">
        <f aca="false">IF((C150-D149)*24&gt;12,"",(C150-D149)*24)</f>
        <v>3.25</v>
      </c>
    </row>
    <row r="151" customFormat="false" ht="15" hidden="false" customHeight="false" outlineLevel="0" collapsed="false">
      <c r="A151" s="26" t="n">
        <f aca="false">INT(C151-4/24)</f>
        <v>46285</v>
      </c>
      <c r="B151" s="31" t="s">
        <v>93</v>
      </c>
      <c r="C151" s="30" t="n">
        <v>46286.0319444445</v>
      </c>
      <c r="D151" s="30" t="n">
        <v>46286.06875</v>
      </c>
      <c r="E151" s="36" t="n">
        <f aca="false">(D151-C151)*24</f>
        <v>0.883333333333333</v>
      </c>
      <c r="F151" s="36" t="n">
        <f aca="false">IF((C151-D150)*24&gt;12,"",(C151-D150)*24)</f>
        <v>6.26666666666667</v>
      </c>
    </row>
    <row r="152" customFormat="false" ht="15" hidden="false" customHeight="false" outlineLevel="0" collapsed="false">
      <c r="A152" s="32" t="n">
        <f aca="false">INT(C152-4/24)</f>
        <v>46285</v>
      </c>
      <c r="B152" s="33" t="s">
        <v>92</v>
      </c>
      <c r="C152" s="34" t="n">
        <v>46286.06875</v>
      </c>
      <c r="D152" s="34" t="n">
        <v>46286.4270833333</v>
      </c>
      <c r="E152" s="35" t="n">
        <f aca="false">(D152-C152)*24</f>
        <v>8.6</v>
      </c>
      <c r="F152" s="35" t="n">
        <f aca="false">IF((C152-D151)*24&gt;12,"",(C152-D151)*24)</f>
        <v>0</v>
      </c>
    </row>
    <row r="153" customFormat="false" ht="15" hidden="false" customHeight="false" outlineLevel="0" collapsed="false">
      <c r="A153" s="26" t="n">
        <f aca="false">INT(C153-4/24)</f>
        <v>46286</v>
      </c>
      <c r="B153" s="31" t="s">
        <v>93</v>
      </c>
      <c r="C153" s="30" t="n">
        <v>46286.6805555556</v>
      </c>
      <c r="D153" s="30" t="n">
        <v>46286.7</v>
      </c>
      <c r="E153" s="36" t="n">
        <f aca="false">(D153-C153)*24</f>
        <v>0.466666666666667</v>
      </c>
      <c r="F153" s="36" t="n">
        <f aca="false">IF((C153-D152)*24&gt;12,"",(C153-D152)*24)</f>
        <v>6.08333333290639</v>
      </c>
    </row>
    <row r="154" customFormat="false" ht="15" hidden="false" customHeight="false" outlineLevel="0" collapsed="false">
      <c r="A154" s="26" t="n">
        <f aca="false">INT(C154-4/24)</f>
        <v>46286</v>
      </c>
      <c r="B154" s="31" t="s">
        <v>93</v>
      </c>
      <c r="C154" s="30" t="n">
        <v>46286.8402777778</v>
      </c>
      <c r="D154" s="30" t="n">
        <v>46286.90625</v>
      </c>
      <c r="E154" s="36" t="n">
        <f aca="false">(D154-C154)*24</f>
        <v>1.58333333333333</v>
      </c>
      <c r="F154" s="36" t="n">
        <f aca="false">IF((C154-D153)*24&gt;12,"",(C154-D153)*24)</f>
        <v>3.36666666666667</v>
      </c>
    </row>
    <row r="155" customFormat="false" ht="15" hidden="false" customHeight="false" outlineLevel="0" collapsed="false">
      <c r="A155" s="26" t="n">
        <f aca="false">INT(C155-4/24)</f>
        <v>46286</v>
      </c>
      <c r="B155" s="31" t="s">
        <v>93</v>
      </c>
      <c r="C155" s="30" t="n">
        <v>46287.0013888889</v>
      </c>
      <c r="D155" s="30" t="n">
        <v>46287.0354166667</v>
      </c>
      <c r="E155" s="36" t="n">
        <f aca="false">(D155-C155)*24</f>
        <v>0.816666666666667</v>
      </c>
      <c r="F155" s="36" t="n">
        <f aca="false">IF((C155-D154)*24&gt;12,"",(C155-D154)*24)</f>
        <v>2.28333333333333</v>
      </c>
    </row>
    <row r="156" customFormat="false" ht="15" hidden="false" customHeight="false" outlineLevel="0" collapsed="false">
      <c r="A156" s="32" t="n">
        <f aca="false">INT(C156-4/24)</f>
        <v>46286</v>
      </c>
      <c r="B156" s="33" t="s">
        <v>92</v>
      </c>
      <c r="C156" s="34" t="n">
        <v>46287.0354166667</v>
      </c>
      <c r="D156" s="34" t="n">
        <v>46287.33125</v>
      </c>
      <c r="E156" s="35" t="n">
        <f aca="false">(D156-C156)*24</f>
        <v>7.1</v>
      </c>
      <c r="F156" s="35" t="n">
        <f aca="false">IF((C156-D155)*24&gt;12,"",(C156-D155)*24)</f>
        <v>0</v>
      </c>
    </row>
    <row r="157" customFormat="false" ht="15" hidden="false" customHeight="false" outlineLevel="0" collapsed="false">
      <c r="A157" s="26" t="n">
        <f aca="false">INT(C157-4/24)</f>
        <v>46287</v>
      </c>
      <c r="B157" s="31" t="s">
        <v>93</v>
      </c>
      <c r="C157" s="30" t="n">
        <v>46287.3777777778</v>
      </c>
      <c r="D157" s="30" t="n">
        <v>46287.3958333333</v>
      </c>
      <c r="E157" s="36" t="n">
        <f aca="false">(D157-C157)*24</f>
        <v>0.433333333333333</v>
      </c>
      <c r="F157" s="36" t="n">
        <f aca="false">IF((C157-D156)*24&gt;12,"",(C157-D156)*24)</f>
        <v>1.11666666666667</v>
      </c>
    </row>
    <row r="158" customFormat="false" ht="15" hidden="false" customHeight="false" outlineLevel="0" collapsed="false">
      <c r="A158" s="26" t="n">
        <f aca="false">INT(C158-4/24)</f>
        <v>46287</v>
      </c>
      <c r="B158" s="31" t="s">
        <v>93</v>
      </c>
      <c r="C158" s="30" t="n">
        <v>46287.5902777778</v>
      </c>
      <c r="D158" s="30" t="n">
        <v>46287.6145833333</v>
      </c>
      <c r="E158" s="36" t="n">
        <f aca="false">(D158-C158)*24</f>
        <v>0.583333333333333</v>
      </c>
      <c r="F158" s="36" t="n">
        <f aca="false">IF((C158-D157)*24&gt;12,"",(C158-D157)*24)</f>
        <v>4.66666666666667</v>
      </c>
    </row>
    <row r="159" customFormat="false" ht="15" hidden="false" customHeight="false" outlineLevel="0" collapsed="false">
      <c r="A159" s="26" t="n">
        <f aca="false">INT(C159-4/24)</f>
        <v>46287</v>
      </c>
      <c r="B159" s="31" t="s">
        <v>93</v>
      </c>
      <c r="C159" s="30" t="n">
        <v>46287.9263888889</v>
      </c>
      <c r="D159" s="30" t="n">
        <v>46287.9715277778</v>
      </c>
      <c r="E159" s="36" t="n">
        <f aca="false">(D159-C159)*24</f>
        <v>1.08333333333333</v>
      </c>
      <c r="F159" s="36" t="n">
        <f aca="false">IF((C159-D158)*24&gt;12,"",(C159-D158)*24)</f>
        <v>7.48333333333333</v>
      </c>
    </row>
    <row r="160" customFormat="false" ht="15" hidden="false" customHeight="false" outlineLevel="0" collapsed="false">
      <c r="A160" s="32" t="n">
        <f aca="false">INT(C160-4/24)</f>
        <v>46287</v>
      </c>
      <c r="B160" s="33" t="s">
        <v>92</v>
      </c>
      <c r="C160" s="34" t="n">
        <v>46287.9784722222</v>
      </c>
      <c r="D160" s="34" t="n">
        <v>46288.2916666667</v>
      </c>
      <c r="E160" s="35" t="n">
        <f aca="false">(D160-C160)*24</f>
        <v>7.51666666666667</v>
      </c>
      <c r="F160" s="35" t="n">
        <f aca="false">IF((C160-D159)*24&gt;12,"",(C160-D159)*24)</f>
        <v>0.166666666666667</v>
      </c>
    </row>
    <row r="161" customFormat="false" ht="15" hidden="false" customHeight="false" outlineLevel="0" collapsed="false">
      <c r="A161" s="26" t="n">
        <f aca="false">INT(C161-4/24)</f>
        <v>46288</v>
      </c>
      <c r="B161" s="31" t="s">
        <v>93</v>
      </c>
      <c r="C161" s="30" t="n">
        <v>46288.46875</v>
      </c>
      <c r="D161" s="30" t="n">
        <v>46288.4895833333</v>
      </c>
      <c r="E161" s="36" t="n">
        <f aca="false">(D161-C161)*24</f>
        <v>0.5</v>
      </c>
      <c r="F161" s="36" t="n">
        <f aca="false">IF((C161-D160)*24&gt;12,"",(C161-D160)*24)</f>
        <v>4.25</v>
      </c>
    </row>
    <row r="162" customFormat="false" ht="15" hidden="false" customHeight="false" outlineLevel="0" collapsed="false">
      <c r="A162" s="26" t="n">
        <f aca="false">INT(C162-4/24)</f>
        <v>46288</v>
      </c>
      <c r="B162" s="31" t="s">
        <v>93</v>
      </c>
      <c r="C162" s="30" t="n">
        <v>46288.7888888889</v>
      </c>
      <c r="D162" s="30" t="n">
        <v>46288.8375</v>
      </c>
      <c r="E162" s="36" t="n">
        <f aca="false">(D162-C162)*24</f>
        <v>1.16666666666667</v>
      </c>
      <c r="F162" s="36" t="n">
        <f aca="false">IF((C162-D161)*24&gt;12,"",(C162-D161)*24)</f>
        <v>7.18333333333333</v>
      </c>
    </row>
    <row r="163" customFormat="false" ht="15" hidden="false" customHeight="false" outlineLevel="0" collapsed="false">
      <c r="A163" s="26" t="n">
        <f aca="false">INT(C163-4/24)</f>
        <v>46288</v>
      </c>
      <c r="B163" s="31" t="s">
        <v>93</v>
      </c>
      <c r="C163" s="30" t="n">
        <v>46288.9777777778</v>
      </c>
      <c r="D163" s="30" t="n">
        <v>46288.9965277778</v>
      </c>
      <c r="E163" s="36" t="n">
        <f aca="false">(D163-C163)*24</f>
        <v>0.45</v>
      </c>
      <c r="F163" s="36" t="n">
        <f aca="false">IF((C163-D162)*24&gt;12,"",(C163-D162)*24)</f>
        <v>3.36666666666667</v>
      </c>
    </row>
    <row r="164" customFormat="false" ht="15" hidden="false" customHeight="false" outlineLevel="0" collapsed="false">
      <c r="A164" s="32" t="n">
        <f aca="false">INT(C164-4/24)</f>
        <v>46288</v>
      </c>
      <c r="B164" s="33" t="s">
        <v>92</v>
      </c>
      <c r="C164" s="34" t="n">
        <v>46289</v>
      </c>
      <c r="D164" s="34" t="n">
        <v>46289.2708333333</v>
      </c>
      <c r="E164" s="35" t="n">
        <f aca="false">(D164-C164)*24</f>
        <v>6.5</v>
      </c>
      <c r="F164" s="35" t="n">
        <f aca="false">IF((C164-D163)*24&gt;12,"",(C164-D163)*24)</f>
        <v>0.0833333333333333</v>
      </c>
    </row>
    <row r="165" customFormat="false" ht="15" hidden="false" customHeight="false" outlineLevel="0" collapsed="false">
      <c r="A165" s="26" t="n">
        <f aca="false">INT(C165-4/24)</f>
        <v>46289</v>
      </c>
      <c r="B165" s="31" t="s">
        <v>93</v>
      </c>
      <c r="C165" s="30" t="n">
        <v>46289.4069444445</v>
      </c>
      <c r="D165" s="30" t="n">
        <v>46289.4736111111</v>
      </c>
      <c r="E165" s="36" t="n">
        <f aca="false">(D165-C165)*24</f>
        <v>1.6</v>
      </c>
      <c r="F165" s="36" t="n">
        <f aca="false">IF((C165-D164)*24&gt;12,"",(C165-D164)*24)</f>
        <v>3.26666666666667</v>
      </c>
    </row>
    <row r="166" customFormat="false" ht="15" hidden="false" customHeight="false" outlineLevel="0" collapsed="false">
      <c r="A166" s="26" t="n">
        <f aca="false">INT(C166-4/24)</f>
        <v>46289</v>
      </c>
      <c r="B166" s="31" t="s">
        <v>93</v>
      </c>
      <c r="C166" s="30" t="n">
        <v>46289.6458333333</v>
      </c>
      <c r="D166" s="30" t="n">
        <v>46289.6763888889</v>
      </c>
      <c r="E166" s="36" t="n">
        <f aca="false">(D166-C166)*24</f>
        <v>0.733333333333333</v>
      </c>
      <c r="F166" s="36" t="n">
        <f aca="false">IF((C166-D165)*24&gt;12,"",(C166-D165)*24)</f>
        <v>4.13333333333333</v>
      </c>
    </row>
    <row r="167" customFormat="false" ht="15" hidden="false" customHeight="false" outlineLevel="0" collapsed="false">
      <c r="A167" s="26" t="n">
        <f aca="false">INT(C167-4/24)</f>
        <v>46289</v>
      </c>
      <c r="B167" s="31" t="s">
        <v>93</v>
      </c>
      <c r="C167" s="30" t="n">
        <v>46290.0104166667</v>
      </c>
      <c r="D167" s="30" t="n">
        <v>46290.0347222222</v>
      </c>
      <c r="E167" s="36" t="n">
        <f aca="false">(D167-C167)*24</f>
        <v>0.583333333333333</v>
      </c>
      <c r="F167" s="36" t="n">
        <f aca="false">IF((C167-D166)*24&gt;12,"",(C167-D166)*24)</f>
        <v>8.01666666666667</v>
      </c>
    </row>
    <row r="168" customFormat="false" ht="15" hidden="false" customHeight="false" outlineLevel="0" collapsed="false">
      <c r="A168" s="32" t="n">
        <f aca="false">INT(C168-4/24)</f>
        <v>46289</v>
      </c>
      <c r="B168" s="33" t="s">
        <v>92</v>
      </c>
      <c r="C168" s="34" t="n">
        <v>46290.0381944445</v>
      </c>
      <c r="D168" s="34" t="n">
        <v>46290.3555555556</v>
      </c>
      <c r="E168" s="35" t="n">
        <f aca="false">(D168-C168)*24</f>
        <v>7.61666666666667</v>
      </c>
      <c r="F168" s="35" t="n">
        <f aca="false">IF((C168-D167)*24&gt;12,"",(C168-D167)*24)</f>
        <v>0.0833333333333333</v>
      </c>
    </row>
    <row r="169" customFormat="false" ht="15" hidden="false" customHeight="false" outlineLevel="0" collapsed="false">
      <c r="A169" s="26" t="n">
        <f aca="false">INT(C169-4/24)</f>
        <v>46290</v>
      </c>
      <c r="B169" s="31" t="s">
        <v>93</v>
      </c>
      <c r="C169" s="30" t="n">
        <v>46290.5208333333</v>
      </c>
      <c r="D169" s="30" t="n">
        <v>46290.55</v>
      </c>
      <c r="E169" s="36" t="n">
        <f aca="false">(D169-C169)*24</f>
        <v>0.7</v>
      </c>
      <c r="F169" s="36" t="n">
        <f aca="false">IF((C169-D168)*24&gt;12,"",(C169-D168)*24)</f>
        <v>3.96666666666667</v>
      </c>
    </row>
    <row r="170" customFormat="false" ht="15" hidden="false" customHeight="false" outlineLevel="0" collapsed="false">
      <c r="A170" s="26" t="n">
        <f aca="false">INT(C170-4/24)</f>
        <v>46290</v>
      </c>
      <c r="B170" s="31" t="s">
        <v>93</v>
      </c>
      <c r="C170" s="30" t="n">
        <v>46290.6458333333</v>
      </c>
      <c r="D170" s="30" t="n">
        <v>46290.7083333333</v>
      </c>
      <c r="E170" s="36" t="n">
        <f aca="false">(D170-C170)*24</f>
        <v>1.5</v>
      </c>
      <c r="F170" s="36" t="n">
        <f aca="false">IF((C170-D169)*24&gt;12,"",(C170-D169)*24)</f>
        <v>2.3</v>
      </c>
    </row>
    <row r="171" customFormat="false" ht="15" hidden="false" customHeight="false" outlineLevel="0" collapsed="false">
      <c r="A171" s="26" t="n">
        <f aca="false">INT(C171-4/24)</f>
        <v>46290</v>
      </c>
      <c r="B171" s="31" t="s">
        <v>93</v>
      </c>
      <c r="C171" s="30" t="n">
        <v>46290.71875</v>
      </c>
      <c r="D171" s="30" t="n">
        <v>46290.7479166667</v>
      </c>
      <c r="E171" s="36" t="n">
        <f aca="false">(D171-C171)*24</f>
        <v>0.7</v>
      </c>
      <c r="F171" s="36" t="n">
        <f aca="false">IF((C171-D170)*24&gt;12,"",(C171-D170)*24)</f>
        <v>0.25</v>
      </c>
    </row>
    <row r="172" customFormat="false" ht="15" hidden="false" customHeight="false" outlineLevel="0" collapsed="false">
      <c r="A172" s="26" t="n">
        <f aca="false">INT(C172-4/24)</f>
        <v>46290</v>
      </c>
      <c r="B172" s="31" t="s">
        <v>93</v>
      </c>
      <c r="C172" s="30" t="n">
        <v>46290.9645833333</v>
      </c>
      <c r="D172" s="30" t="n">
        <v>46290.9763888889</v>
      </c>
      <c r="E172" s="36" t="n">
        <f aca="false">(D172-C172)*24</f>
        <v>0.283333333333333</v>
      </c>
      <c r="F172" s="36" t="n">
        <f aca="false">IF((C172-D171)*24&gt;12,"",(C172-D171)*24)</f>
        <v>5.2</v>
      </c>
    </row>
    <row r="173" customFormat="false" ht="15" hidden="false" customHeight="false" outlineLevel="0" collapsed="false">
      <c r="A173" s="26" t="n">
        <f aca="false">INT(C173-4/24)</f>
        <v>46290</v>
      </c>
      <c r="B173" s="31" t="s">
        <v>93</v>
      </c>
      <c r="C173" s="30" t="n">
        <v>46290.9895833333</v>
      </c>
      <c r="D173" s="30" t="n">
        <v>46291.0354166667</v>
      </c>
      <c r="E173" s="36" t="n">
        <f aca="false">(D173-C173)*24</f>
        <v>1.1</v>
      </c>
      <c r="F173" s="36" t="n">
        <f aca="false">IF((C173-D172)*24&gt;12,"",(C173-D172)*24)</f>
        <v>0.316666666666667</v>
      </c>
    </row>
    <row r="174" customFormat="false" ht="15" hidden="false" customHeight="false" outlineLevel="0" collapsed="false">
      <c r="A174" s="32" t="n">
        <f aca="false">INT(C174-4/24)</f>
        <v>46290</v>
      </c>
      <c r="B174" s="33" t="s">
        <v>92</v>
      </c>
      <c r="C174" s="34" t="n">
        <v>46291.0361111111</v>
      </c>
      <c r="D174" s="34" t="n">
        <v>46291.3291666667</v>
      </c>
      <c r="E174" s="35" t="n">
        <f aca="false">(D174-C174)*24</f>
        <v>7.03333333333333</v>
      </c>
      <c r="F174" s="35" t="n">
        <f aca="false">IF((C174-D173)*24&gt;12,"",(C174-D173)*24)</f>
        <v>0.0166666666666667</v>
      </c>
    </row>
    <row r="175" customFormat="false" ht="15" hidden="false" customHeight="false" outlineLevel="0" collapsed="false">
      <c r="A175" s="26" t="n">
        <f aca="false">INT(C175-4/24)</f>
        <v>46291</v>
      </c>
      <c r="B175" s="31" t="s">
        <v>93</v>
      </c>
      <c r="C175" s="30" t="n">
        <v>46291.3541666667</v>
      </c>
      <c r="D175" s="30" t="n">
        <v>46291.3854166667</v>
      </c>
      <c r="E175" s="36" t="n">
        <f aca="false">(D175-C175)*24</f>
        <v>0.75</v>
      </c>
      <c r="F175" s="36" t="n">
        <f aca="false">IF((C175-D174)*24&gt;12,"",(C175-D174)*24)</f>
        <v>0.599999999685556</v>
      </c>
    </row>
    <row r="176" customFormat="false" ht="15" hidden="false" customHeight="false" outlineLevel="0" collapsed="false">
      <c r="A176" s="26" t="n">
        <f aca="false">INT(C176-4/24)</f>
        <v>46291</v>
      </c>
      <c r="B176" s="31" t="s">
        <v>93</v>
      </c>
      <c r="C176" s="30" t="n">
        <v>46291.4895833333</v>
      </c>
      <c r="D176" s="30" t="n">
        <v>46291.5208333333</v>
      </c>
      <c r="E176" s="36" t="n">
        <f aca="false">(D176-C176)*24</f>
        <v>0.75</v>
      </c>
      <c r="F176" s="36" t="n">
        <f aca="false">IF((C176-D175)*24&gt;12,"",(C176-D175)*24)</f>
        <v>2.50000000046556</v>
      </c>
    </row>
    <row r="177" customFormat="false" ht="15" hidden="false" customHeight="false" outlineLevel="0" collapsed="false">
      <c r="A177" s="26" t="n">
        <f aca="false">INT(C177-4/24)</f>
        <v>46291</v>
      </c>
      <c r="B177" s="31" t="s">
        <v>93</v>
      </c>
      <c r="C177" s="30" t="n">
        <v>46291.6180555556</v>
      </c>
      <c r="D177" s="30" t="n">
        <v>46291.6465277778</v>
      </c>
      <c r="E177" s="36" t="n">
        <f aca="false">(D177-C177)*24</f>
        <v>0.683333333639722</v>
      </c>
      <c r="F177" s="36" t="n">
        <f aca="false">IF((C177-D176)*24&gt;12,"",(C177-D176)*24)</f>
        <v>2.33333333290639</v>
      </c>
    </row>
    <row r="178" customFormat="false" ht="15" hidden="false" customHeight="false" outlineLevel="0" collapsed="false">
      <c r="A178" s="26" t="n">
        <f aca="false">INT(C178-4/24)</f>
        <v>46291</v>
      </c>
      <c r="B178" s="31" t="s">
        <v>93</v>
      </c>
      <c r="C178" s="30" t="n">
        <v>46291.75625</v>
      </c>
      <c r="D178" s="30" t="n">
        <v>46291.8361111111</v>
      </c>
      <c r="E178" s="36" t="n">
        <f aca="false">(D178-C178)*24</f>
        <v>1.91666666666667</v>
      </c>
      <c r="F178" s="36" t="n">
        <f aca="false">IF((C178-D177)*24&gt;12,"",(C178-D177)*24)</f>
        <v>2.63333333333333</v>
      </c>
    </row>
    <row r="179" customFormat="false" ht="15" hidden="false" customHeight="false" outlineLevel="0" collapsed="false">
      <c r="A179" s="26" t="n">
        <f aca="false">INT(C179-4/24)</f>
        <v>46291</v>
      </c>
      <c r="B179" s="31" t="s">
        <v>93</v>
      </c>
      <c r="C179" s="30" t="n">
        <v>46292.0166666667</v>
      </c>
      <c r="D179" s="30" t="n">
        <v>46292.0520833333</v>
      </c>
      <c r="E179" s="36" t="n">
        <f aca="false">(D179-C179)*24</f>
        <v>0.85</v>
      </c>
      <c r="F179" s="36" t="n">
        <f aca="false">IF((C179-D178)*24&gt;12,"",(C179-D178)*24)</f>
        <v>4.33333333333333</v>
      </c>
    </row>
    <row r="180" customFormat="false" ht="15" hidden="false" customHeight="false" outlineLevel="0" collapsed="false">
      <c r="A180" s="32" t="n">
        <f aca="false">INT(C180-4/24)</f>
        <v>46291</v>
      </c>
      <c r="B180" s="33" t="s">
        <v>92</v>
      </c>
      <c r="C180" s="34" t="n">
        <v>46292.0534722222</v>
      </c>
      <c r="D180" s="34" t="n">
        <v>46292.3541666667</v>
      </c>
      <c r="E180" s="35" t="n">
        <f aca="false">(D180-C180)*24</f>
        <v>7.21666666666667</v>
      </c>
      <c r="F180" s="35" t="n">
        <f aca="false">IF((C180-D179)*24&gt;12,"",(C180-D179)*24)</f>
        <v>0.0333333333333333</v>
      </c>
    </row>
    <row r="181" customFormat="false" ht="15" hidden="false" customHeight="false" outlineLevel="0" collapsed="false">
      <c r="A181" s="26" t="n">
        <f aca="false">INT(C181-4/24)</f>
        <v>46292</v>
      </c>
      <c r="B181" s="31" t="s">
        <v>93</v>
      </c>
      <c r="C181" s="30" t="n">
        <v>46292.4041666667</v>
      </c>
      <c r="D181" s="30" t="n">
        <v>46292.4284722222</v>
      </c>
      <c r="E181" s="36" t="n">
        <f aca="false">(D181-C181)*24</f>
        <v>0.583333333333333</v>
      </c>
      <c r="F181" s="36" t="n">
        <f aca="false">IF((C181-D180)*24&gt;12,"",(C181-D180)*24)</f>
        <v>1.2</v>
      </c>
    </row>
    <row r="182" customFormat="false" ht="15" hidden="false" customHeight="false" outlineLevel="0" collapsed="false">
      <c r="A182" s="26" t="n">
        <f aca="false">INT(C182-4/24)</f>
        <v>46292</v>
      </c>
      <c r="B182" s="31" t="s">
        <v>93</v>
      </c>
      <c r="C182" s="30" t="n">
        <v>46292.4895833333</v>
      </c>
      <c r="D182" s="30" t="n">
        <v>46292.5145833333</v>
      </c>
      <c r="E182" s="36" t="n">
        <f aca="false">(D182-C182)*24</f>
        <v>0.599999999685556</v>
      </c>
      <c r="F182" s="36" t="n">
        <f aca="false">IF((C182-D181)*24&gt;12,"",(C182-D181)*24)</f>
        <v>1.46666666666667</v>
      </c>
    </row>
    <row r="183" customFormat="false" ht="15" hidden="false" customHeight="false" outlineLevel="0" collapsed="false">
      <c r="A183" s="26" t="n">
        <f aca="false">INT(C183-4/24)</f>
        <v>46292</v>
      </c>
      <c r="B183" s="31" t="s">
        <v>93</v>
      </c>
      <c r="C183" s="30" t="n">
        <v>46292.7430555556</v>
      </c>
      <c r="D183" s="30" t="n">
        <v>46292.81875</v>
      </c>
      <c r="E183" s="36" t="n">
        <f aca="false">(D183-C183)*24</f>
        <v>1.81666666666667</v>
      </c>
      <c r="F183" s="36" t="n">
        <f aca="false">IF((C183-D182)*24&gt;12,"",(C183-D182)*24)</f>
        <v>5.48333333333333</v>
      </c>
    </row>
    <row r="184" customFormat="false" ht="15" hidden="false" customHeight="false" outlineLevel="0" collapsed="false">
      <c r="A184" s="26" t="n">
        <f aca="false">INT(C184-4/24)</f>
        <v>46292</v>
      </c>
      <c r="B184" s="31" t="s">
        <v>93</v>
      </c>
      <c r="C184" s="30" t="n">
        <v>46293.0020833333</v>
      </c>
      <c r="D184" s="30" t="n">
        <v>46293.0368055556</v>
      </c>
      <c r="E184" s="36" t="n">
        <f aca="false">(D184-C184)*24</f>
        <v>0.833333333333333</v>
      </c>
      <c r="F184" s="36" t="n">
        <f aca="false">IF((C184-D183)*24&gt;12,"",(C184-D183)*24)</f>
        <v>4.4</v>
      </c>
    </row>
    <row r="185" customFormat="false" ht="15" hidden="false" customHeight="false" outlineLevel="0" collapsed="false">
      <c r="A185" s="26" t="n">
        <f aca="false">INT(C185-4/24)</f>
        <v>46293</v>
      </c>
      <c r="B185" s="31" t="s">
        <v>93</v>
      </c>
      <c r="C185" s="30" t="n">
        <v>46293.3541666667</v>
      </c>
      <c r="D185" s="30" t="n">
        <v>46293.4555555556</v>
      </c>
      <c r="E185" s="36" t="n">
        <f aca="false">(D185-C185)*24</f>
        <v>2.43333333375611</v>
      </c>
      <c r="F185" s="36" t="n">
        <f aca="false">IF((C185-D184)*24&gt;12,"",(C185-D184)*24)</f>
        <v>7.61666666634833</v>
      </c>
    </row>
    <row r="186" customFormat="false" ht="15" hidden="false" customHeight="false" outlineLevel="0" collapsed="false">
      <c r="A186" s="26" t="n">
        <f aca="false">INT(C186-4/24)</f>
        <v>46293</v>
      </c>
      <c r="B186" s="31" t="s">
        <v>93</v>
      </c>
      <c r="C186" s="30" t="n">
        <v>46293.5763888889</v>
      </c>
      <c r="D186" s="30" t="n">
        <v>46293.6458333333</v>
      </c>
      <c r="E186" s="36" t="n">
        <f aca="false">(D186-C186)*24</f>
        <v>1.66666666666667</v>
      </c>
      <c r="F186" s="36" t="n">
        <f aca="false">IF((C186-D185)*24&gt;12,"",(C186-D185)*24)</f>
        <v>2.9</v>
      </c>
    </row>
    <row r="187" customFormat="false" ht="15" hidden="false" customHeight="false" outlineLevel="0" collapsed="false">
      <c r="A187" s="26" t="n">
        <f aca="false">INT(C187-4/24)</f>
        <v>46293</v>
      </c>
      <c r="B187" s="31" t="s">
        <v>93</v>
      </c>
      <c r="C187" s="30" t="n">
        <v>46293.7493055556</v>
      </c>
      <c r="D187" s="30" t="n">
        <v>46293.7673611111</v>
      </c>
      <c r="E187" s="36" t="n">
        <f aca="false">(D187-C187)*24</f>
        <v>0.433333333333333</v>
      </c>
      <c r="F187" s="36" t="n">
        <f aca="false">IF((C187-D186)*24&gt;12,"",(C187-D186)*24)</f>
        <v>2.48333333304611</v>
      </c>
    </row>
    <row r="188" customFormat="false" ht="15" hidden="false" customHeight="false" outlineLevel="0" collapsed="false">
      <c r="A188" s="26" t="n">
        <f aca="false">INT(C188-4/24)</f>
        <v>46293</v>
      </c>
      <c r="B188" s="31" t="s">
        <v>93</v>
      </c>
      <c r="C188" s="30" t="n">
        <v>46294.05625</v>
      </c>
      <c r="D188" s="30" t="n">
        <v>46294.0819444444</v>
      </c>
      <c r="E188" s="36" t="n">
        <f aca="false">(D188-C188)*24</f>
        <v>0.616666666666667</v>
      </c>
      <c r="F188" s="36" t="n">
        <f aca="false">IF((C188-D187)*24&gt;12,"",(C188-D187)*24)</f>
        <v>6.93333333333333</v>
      </c>
    </row>
    <row r="189" customFormat="false" ht="15" hidden="false" customHeight="false" outlineLevel="0" collapsed="false">
      <c r="A189" s="32" t="n">
        <f aca="false">INT(C189-4/24)</f>
        <v>46293</v>
      </c>
      <c r="B189" s="33" t="s">
        <v>92</v>
      </c>
      <c r="C189" s="34" t="n">
        <v>46294.0819444444</v>
      </c>
      <c r="D189" s="34" t="n">
        <v>46294.3541666667</v>
      </c>
      <c r="E189" s="35" t="n">
        <f aca="false">(D189-C189)*24</f>
        <v>6.53333333333333</v>
      </c>
      <c r="F189" s="35" t="n">
        <f aca="false">IF((C189-D188)*24&gt;12,"",(C189-D188)*24)</f>
        <v>0</v>
      </c>
    </row>
    <row r="190" customFormat="false" ht="15" hidden="false" customHeight="false" outlineLevel="0" collapsed="false">
      <c r="A190" s="26" t="n">
        <f aca="false">INT(C190-4/24)</f>
        <v>46294</v>
      </c>
      <c r="B190" s="31" t="s">
        <v>93</v>
      </c>
      <c r="C190" s="30" t="n">
        <v>46294.5979166667</v>
      </c>
      <c r="D190" s="30" t="n">
        <v>46294.6659722222</v>
      </c>
      <c r="E190" s="36" t="n">
        <f aca="false">(D190-C190)*24</f>
        <v>1.63333333333333</v>
      </c>
      <c r="F190" s="36" t="n">
        <f aca="false">IF((C190-D189)*24&gt;12,"",(C190-D189)*24)</f>
        <v>5.85000000038417</v>
      </c>
    </row>
    <row r="191" customFormat="false" ht="15" hidden="false" customHeight="false" outlineLevel="0" collapsed="false">
      <c r="A191" s="26" t="n">
        <f aca="false">INT(C191-4/24)</f>
        <v>46294</v>
      </c>
      <c r="B191" s="31" t="s">
        <v>93</v>
      </c>
      <c r="C191" s="30" t="n">
        <v>46294.8888888889</v>
      </c>
      <c r="D191" s="30" t="n">
        <v>46294.9263888889</v>
      </c>
      <c r="E191" s="36" t="n">
        <f aca="false">(D191-C191)*24</f>
        <v>0.9</v>
      </c>
      <c r="F191" s="36" t="n">
        <f aca="false">IF((C191-D190)*24&gt;12,"",(C191-D190)*24)</f>
        <v>5.35</v>
      </c>
    </row>
    <row r="192" customFormat="false" ht="15" hidden="false" customHeight="false" outlineLevel="0" collapsed="false">
      <c r="A192" s="26" t="n">
        <f aca="false">INT(C192-4/24)</f>
        <v>46294</v>
      </c>
      <c r="B192" s="31" t="s">
        <v>93</v>
      </c>
      <c r="C192" s="30" t="n">
        <v>46295.0416666667</v>
      </c>
      <c r="D192" s="30" t="n">
        <v>46295.0673611111</v>
      </c>
      <c r="E192" s="36" t="n">
        <f aca="false">(D192-C192)*24</f>
        <v>0.616666666666667</v>
      </c>
      <c r="F192" s="36" t="n">
        <f aca="false">IF((C192-D191)*24&gt;12,"",(C192-D191)*24)</f>
        <v>2.76666666666667</v>
      </c>
    </row>
    <row r="193" customFormat="false" ht="15" hidden="false" customHeight="false" outlineLevel="0" collapsed="false">
      <c r="A193" s="32" t="n">
        <f aca="false">INT(C193-4/24)</f>
        <v>46294</v>
      </c>
      <c r="B193" s="33" t="s">
        <v>92</v>
      </c>
      <c r="C193" s="34" t="n">
        <v>46295.0673611111</v>
      </c>
      <c r="D193" s="34" t="n">
        <v>46295.3472222222</v>
      </c>
      <c r="E193" s="35" t="n">
        <f aca="false">(D193-C193)*24</f>
        <v>6.71666666666667</v>
      </c>
      <c r="F193" s="35" t="n">
        <f aca="false">IF((C193-D192)*24&gt;12,"",(C193-D192)*24)</f>
        <v>0</v>
      </c>
    </row>
    <row r="194" customFormat="false" ht="15" hidden="false" customHeight="false" outlineLevel="0" collapsed="false">
      <c r="A194" s="26" t="n">
        <f aca="false">INT(C194-4/24)</f>
        <v>46295</v>
      </c>
      <c r="B194" s="31" t="s">
        <v>93</v>
      </c>
      <c r="C194" s="30" t="n">
        <v>46295.7013888889</v>
      </c>
      <c r="D194" s="30" t="n">
        <v>46295.7222222222</v>
      </c>
      <c r="E194" s="36" t="n">
        <f aca="false">(D194-C194)*24</f>
        <v>0.5</v>
      </c>
      <c r="F194" s="36" t="n">
        <f aca="false">IF((C194-D193)*24&gt;12,"",(C194-D193)*24)</f>
        <v>8.5</v>
      </c>
    </row>
    <row r="195" customFormat="false" ht="15" hidden="false" customHeight="false" outlineLevel="0" collapsed="false">
      <c r="A195" s="26" t="n">
        <f aca="false">INT(C195-4/24)</f>
        <v>46295</v>
      </c>
      <c r="B195" s="31" t="s">
        <v>93</v>
      </c>
      <c r="C195" s="30" t="n">
        <v>46295.875</v>
      </c>
      <c r="D195" s="30" t="n">
        <v>46295.9201388889</v>
      </c>
      <c r="E195" s="36" t="n">
        <f aca="false">(D195-C195)*24</f>
        <v>1.08333333333333</v>
      </c>
      <c r="F195" s="36" t="n">
        <f aca="false">IF((C195-D194)*24&gt;12,"",(C195-D194)*24)</f>
        <v>3.66666666666667</v>
      </c>
    </row>
    <row r="196" customFormat="false" ht="15" hidden="false" customHeight="false" outlineLevel="0" collapsed="false">
      <c r="A196" s="26" t="n">
        <f aca="false">INT(C196-4/24)</f>
        <v>46295</v>
      </c>
      <c r="B196" s="31" t="s">
        <v>93</v>
      </c>
      <c r="C196" s="30" t="n">
        <v>46295.9270833333</v>
      </c>
      <c r="D196" s="30" t="n">
        <v>46295.9604166667</v>
      </c>
      <c r="E196" s="36" t="n">
        <f aca="false">(D196-C196)*24</f>
        <v>0.8</v>
      </c>
      <c r="F196" s="36" t="n">
        <f aca="false">IF((C196-D195)*24&gt;12,"",(C196-D195)*24)</f>
        <v>0.166666666666667</v>
      </c>
    </row>
    <row r="197" customFormat="false" ht="15" hidden="false" customHeight="false" outlineLevel="0" collapsed="false">
      <c r="A197" s="26" t="n">
        <f aca="false">INT(C197-4/24)</f>
        <v>46295</v>
      </c>
      <c r="B197" s="31" t="s">
        <v>93</v>
      </c>
      <c r="C197" s="30" t="n">
        <v>46296.0555555556</v>
      </c>
      <c r="D197" s="30" t="n">
        <v>46296.0756944444</v>
      </c>
      <c r="E197" s="36" t="n">
        <f aca="false">(D197-C197)*24</f>
        <v>0.483333333333333</v>
      </c>
      <c r="F197" s="36" t="n">
        <f aca="false">IF((C197-D196)*24&gt;12,"",(C197-D196)*24)</f>
        <v>2.28333333333333</v>
      </c>
    </row>
    <row r="198" customFormat="false" ht="15" hidden="false" customHeight="false" outlineLevel="0" collapsed="false">
      <c r="A198" s="32" t="n">
        <f aca="false">INT(C198-4/24)</f>
        <v>46295</v>
      </c>
      <c r="B198" s="33" t="s">
        <v>92</v>
      </c>
      <c r="C198" s="34" t="n">
        <v>46296.0756944444</v>
      </c>
      <c r="D198" s="34" t="n">
        <v>46296.3375</v>
      </c>
      <c r="E198" s="35" t="n">
        <f aca="false">(D198-C198)*24</f>
        <v>6.28333333333333</v>
      </c>
      <c r="F198" s="35" t="n">
        <f aca="false">IF((C198-D197)*24&gt;12,"",(C198-D197)*24)</f>
        <v>0</v>
      </c>
    </row>
    <row r="199" customFormat="false" ht="15" hidden="false" customHeight="false" outlineLevel="0" collapsed="false">
      <c r="A199" s="26" t="n">
        <f aca="false">INT(C199-4/24)</f>
        <v>46296</v>
      </c>
      <c r="B199" s="31" t="s">
        <v>93</v>
      </c>
      <c r="C199" s="30" t="n">
        <v>46296.4479166667</v>
      </c>
      <c r="D199" s="30" t="n">
        <v>46296.4645833333</v>
      </c>
      <c r="E199" s="36" t="n">
        <f aca="false">(D199-C199)*24</f>
        <v>0.4</v>
      </c>
      <c r="F199" s="36" t="n">
        <f aca="false">IF((C199-D198)*24&gt;12,"",(C199-D198)*24)</f>
        <v>2.65</v>
      </c>
    </row>
    <row r="200" customFormat="false" ht="15" hidden="false" customHeight="false" outlineLevel="0" collapsed="false">
      <c r="A200" s="26" t="n">
        <f aca="false">INT(C200-4/24)</f>
        <v>46296</v>
      </c>
      <c r="B200" s="31" t="s">
        <v>93</v>
      </c>
      <c r="C200" s="30" t="n">
        <v>46296.65625</v>
      </c>
      <c r="D200" s="30" t="n">
        <v>46296.6770833333</v>
      </c>
      <c r="E200" s="36" t="n">
        <f aca="false">(D200-C200)*24</f>
        <v>0.5</v>
      </c>
      <c r="F200" s="36" t="n">
        <f aca="false">IF((C200-D199)*24&gt;12,"",(C200-D199)*24)</f>
        <v>4.6</v>
      </c>
    </row>
    <row r="201" customFormat="false" ht="15" hidden="false" customHeight="false" outlineLevel="0" collapsed="false">
      <c r="A201" s="26" t="n">
        <f aca="false">INT(C201-4/24)</f>
        <v>46296</v>
      </c>
      <c r="B201" s="31" t="s">
        <v>93</v>
      </c>
      <c r="C201" s="30" t="n">
        <v>46296.7847222222</v>
      </c>
      <c r="D201" s="30" t="n">
        <v>46296.8020833333</v>
      </c>
      <c r="E201" s="36" t="n">
        <f aca="false">(D201-C201)*24</f>
        <v>0.416666666976945</v>
      </c>
      <c r="F201" s="36" t="n">
        <f aca="false">IF((C201-D200)*24&gt;12,"",(C201-D200)*24)</f>
        <v>2.58333333302278</v>
      </c>
    </row>
    <row r="202" customFormat="false" ht="15" hidden="false" customHeight="false" outlineLevel="0" collapsed="false">
      <c r="A202" s="26" t="n">
        <f aca="false">INT(C202-4/24)</f>
        <v>46296</v>
      </c>
      <c r="B202" s="31" t="s">
        <v>93</v>
      </c>
      <c r="C202" s="30" t="n">
        <v>46297.0006944445</v>
      </c>
      <c r="D202" s="30" t="n">
        <v>46297.03125</v>
      </c>
      <c r="E202" s="36" t="n">
        <f aca="false">(D202-C202)*24</f>
        <v>0.733333333333333</v>
      </c>
      <c r="F202" s="36" t="n">
        <f aca="false">IF((C202-D201)*24&gt;12,"",(C202-D201)*24)</f>
        <v>4.76666666666667</v>
      </c>
    </row>
    <row r="203" customFormat="false" ht="15" hidden="false" customHeight="false" outlineLevel="0" collapsed="false">
      <c r="A203" s="32" t="n">
        <f aca="false">INT(C203-4/24)</f>
        <v>46296</v>
      </c>
      <c r="B203" s="33" t="s">
        <v>92</v>
      </c>
      <c r="C203" s="34" t="n">
        <v>46297.03125</v>
      </c>
      <c r="D203" s="34" t="n">
        <v>46297.3090277778</v>
      </c>
      <c r="E203" s="35" t="n">
        <f aca="false">(D203-C203)*24</f>
        <v>6.66666666666667</v>
      </c>
      <c r="F203" s="35" t="n">
        <f aca="false">IF((C203-D202)*24&gt;12,"",(C203-D202)*24)</f>
        <v>0</v>
      </c>
    </row>
    <row r="204" customFormat="false" ht="15" hidden="false" customHeight="false" outlineLevel="0" collapsed="false">
      <c r="A204" s="26" t="n">
        <f aca="false">INT(C204-4/24)</f>
        <v>46297</v>
      </c>
      <c r="B204" s="31" t="s">
        <v>93</v>
      </c>
      <c r="C204" s="30" t="n">
        <v>46297.5763888889</v>
      </c>
      <c r="D204" s="30" t="n">
        <v>46297.6020833333</v>
      </c>
      <c r="E204" s="36" t="n">
        <f aca="false">(D204-C204)*24</f>
        <v>0.616666666666667</v>
      </c>
      <c r="F204" s="36" t="n">
        <f aca="false">IF((C204-D203)*24&gt;12,"",(C204-D203)*24)</f>
        <v>6.41666666666667</v>
      </c>
    </row>
    <row r="205" customFormat="false" ht="15" hidden="false" customHeight="false" outlineLevel="0" collapsed="false">
      <c r="A205" s="26" t="n">
        <f aca="false">INT(C205-4/24)</f>
        <v>46297</v>
      </c>
      <c r="B205" s="31" t="s">
        <v>93</v>
      </c>
      <c r="C205" s="30" t="n">
        <v>46297.7847222222</v>
      </c>
      <c r="D205" s="30" t="n">
        <v>46297.8194444445</v>
      </c>
      <c r="E205" s="36" t="n">
        <f aca="false">(D205-C205)*24</f>
        <v>0.833333333333333</v>
      </c>
      <c r="F205" s="36" t="n">
        <f aca="false">IF((C205-D204)*24&gt;12,"",(C205-D204)*24)</f>
        <v>4.38333333333333</v>
      </c>
    </row>
    <row r="206" customFormat="false" ht="15" hidden="false" customHeight="false" outlineLevel="0" collapsed="false">
      <c r="A206" s="26" t="n">
        <f aca="false">INT(C206-4/24)</f>
        <v>46297</v>
      </c>
      <c r="B206" s="31" t="s">
        <v>93</v>
      </c>
      <c r="C206" s="30" t="n">
        <v>46297.9930555556</v>
      </c>
      <c r="D206" s="30" t="n">
        <v>46298.0222222222</v>
      </c>
      <c r="E206" s="36" t="n">
        <f aca="false">(D206-C206)*24</f>
        <v>0.7</v>
      </c>
      <c r="F206" s="36" t="n">
        <f aca="false">IF((C206-D205)*24&gt;12,"",(C206-D205)*24)</f>
        <v>4.16666666627861</v>
      </c>
    </row>
    <row r="207" customFormat="false" ht="15" hidden="false" customHeight="false" outlineLevel="0" collapsed="false">
      <c r="A207" s="32" t="n">
        <f aca="false">INT(C207-4/24)</f>
        <v>46297</v>
      </c>
      <c r="B207" s="33" t="s">
        <v>92</v>
      </c>
      <c r="C207" s="34" t="n">
        <v>46298.0236111111</v>
      </c>
      <c r="D207" s="34" t="n">
        <v>46298.375</v>
      </c>
      <c r="E207" s="35" t="n">
        <f aca="false">(D207-C207)*24</f>
        <v>8.43333333333333</v>
      </c>
      <c r="F207" s="35" t="n">
        <f aca="false">IF((C207-D206)*24&gt;12,"",(C207-D206)*24)</f>
        <v>0.0333333333333333</v>
      </c>
    </row>
    <row r="208" customFormat="false" ht="15" hidden="false" customHeight="false" outlineLevel="0" collapsed="false">
      <c r="A208" s="26" t="n">
        <f aca="false">INT(C208-4/24)</f>
        <v>46298</v>
      </c>
      <c r="B208" s="31" t="s">
        <v>93</v>
      </c>
      <c r="C208" s="30" t="n">
        <v>46298.4645833333</v>
      </c>
      <c r="D208" s="30" t="n">
        <v>46298.4861111111</v>
      </c>
      <c r="E208" s="36" t="n">
        <f aca="false">(D208-C208)*24</f>
        <v>0.516666666666667</v>
      </c>
      <c r="F208" s="36" t="n">
        <f aca="false">IF((C208-D207)*24&gt;12,"",(C208-D207)*24)</f>
        <v>2.15</v>
      </c>
    </row>
    <row r="209" customFormat="false" ht="15" hidden="false" customHeight="false" outlineLevel="0" collapsed="false">
      <c r="A209" s="26" t="n">
        <f aca="false">INT(C209-4/24)</f>
        <v>46298</v>
      </c>
      <c r="B209" s="31" t="s">
        <v>93</v>
      </c>
      <c r="C209" s="30" t="n">
        <v>46298.6</v>
      </c>
      <c r="D209" s="30" t="n">
        <v>46298.6222222222</v>
      </c>
      <c r="E209" s="36" t="n">
        <f aca="false">(D209-C209)*24</f>
        <v>0.533333333333333</v>
      </c>
      <c r="F209" s="36" t="n">
        <f aca="false">IF((C209-D208)*24&gt;12,"",(C209-D208)*24)</f>
        <v>2.73333333333333</v>
      </c>
    </row>
    <row r="210" customFormat="false" ht="15" hidden="false" customHeight="false" outlineLevel="0" collapsed="false">
      <c r="A210" s="26" t="n">
        <f aca="false">INT(C210-4/24)</f>
        <v>46298</v>
      </c>
      <c r="B210" s="31" t="s">
        <v>93</v>
      </c>
      <c r="C210" s="30" t="n">
        <v>46298.8333333333</v>
      </c>
      <c r="D210" s="30" t="n">
        <v>46298.8541666667</v>
      </c>
      <c r="E210" s="36" t="n">
        <f aca="false">(D210-C210)*24</f>
        <v>0.499999999534167</v>
      </c>
      <c r="F210" s="36" t="n">
        <f aca="false">IF((C210-D209)*24&gt;12,"",(C210-D209)*24)</f>
        <v>5.06666666666667</v>
      </c>
    </row>
    <row r="211" customFormat="false" ht="15" hidden="false" customHeight="false" outlineLevel="0" collapsed="false">
      <c r="A211" s="32" t="n">
        <f aca="false">INT(C211-4/24)</f>
        <v>46298</v>
      </c>
      <c r="B211" s="33" t="s">
        <v>92</v>
      </c>
      <c r="C211" s="34" t="n">
        <v>46299.0569444444</v>
      </c>
      <c r="D211" s="34" t="n">
        <v>46299.4409722222</v>
      </c>
      <c r="E211" s="35" t="n">
        <f aca="false">(D211-C211)*24</f>
        <v>9.21666666666667</v>
      </c>
      <c r="F211" s="35" t="n">
        <f aca="false">IF((C211-D210)*24&gt;12,"",(C211-D210)*24)</f>
        <v>4.86666666666667</v>
      </c>
    </row>
    <row r="212" customFormat="false" ht="15" hidden="false" customHeight="false" outlineLevel="0" collapsed="false">
      <c r="A212" s="26" t="n">
        <f aca="false">INT(C212-4/24)</f>
        <v>46299</v>
      </c>
      <c r="B212" s="31" t="s">
        <v>93</v>
      </c>
      <c r="C212" s="30" t="n">
        <v>46299.5208333333</v>
      </c>
      <c r="D212" s="30" t="n">
        <v>46299.5375</v>
      </c>
      <c r="E212" s="36" t="n">
        <f aca="false">(D212-C212)*24</f>
        <v>0.4</v>
      </c>
      <c r="F212" s="36" t="n">
        <f aca="false">IF((C212-D211)*24&gt;12,"",(C212-D211)*24)</f>
        <v>1.91666666697694</v>
      </c>
    </row>
    <row r="213" customFormat="false" ht="15" hidden="false" customHeight="false" outlineLevel="0" collapsed="false">
      <c r="A213" s="26" t="n">
        <f aca="false">INT(C213-4/24)</f>
        <v>46299</v>
      </c>
      <c r="B213" s="31" t="s">
        <v>93</v>
      </c>
      <c r="C213" s="30" t="n">
        <v>46299.6625</v>
      </c>
      <c r="D213" s="30" t="n">
        <v>46299.7465277778</v>
      </c>
      <c r="E213" s="36" t="n">
        <f aca="false">(D213-C213)*24</f>
        <v>2.01666666666667</v>
      </c>
      <c r="F213" s="36" t="n">
        <f aca="false">IF((C213-D212)*24&gt;12,"",(C213-D212)*24)</f>
        <v>3</v>
      </c>
    </row>
    <row r="214" customFormat="false" ht="15" hidden="false" customHeight="false" outlineLevel="0" collapsed="false">
      <c r="A214" s="26" t="n">
        <f aca="false">INT(C214-4/24)</f>
        <v>46299</v>
      </c>
      <c r="B214" s="31" t="s">
        <v>93</v>
      </c>
      <c r="C214" s="30" t="n">
        <v>46299.8597222222</v>
      </c>
      <c r="D214" s="30" t="n">
        <v>46299.86875</v>
      </c>
      <c r="E214" s="36" t="n">
        <f aca="false">(D214-C214)*24</f>
        <v>0.216666666666667</v>
      </c>
      <c r="F214" s="36" t="n">
        <f aca="false">IF((C214-D213)*24&gt;12,"",(C214-D213)*24)</f>
        <v>2.71666666666667</v>
      </c>
    </row>
    <row r="215" customFormat="false" ht="15" hidden="false" customHeight="false" outlineLevel="0" collapsed="false">
      <c r="A215" s="26" t="n">
        <f aca="false">INT(C215-4/24)</f>
        <v>46299</v>
      </c>
      <c r="B215" s="31" t="s">
        <v>93</v>
      </c>
      <c r="C215" s="30" t="n">
        <v>46300.0138888889</v>
      </c>
      <c r="D215" s="30" t="n">
        <v>46300.0347222222</v>
      </c>
      <c r="E215" s="36" t="n">
        <f aca="false">(D215-C215)*24</f>
        <v>0.5</v>
      </c>
      <c r="F215" s="36" t="n">
        <f aca="false">IF((C215-D214)*24&gt;12,"",(C215-D214)*24)</f>
        <v>3.48333333333333</v>
      </c>
    </row>
    <row r="216" customFormat="false" ht="15" hidden="false" customHeight="false" outlineLevel="0" collapsed="false">
      <c r="A216" s="32" t="n">
        <f aca="false">INT(C216-4/24)</f>
        <v>46299</v>
      </c>
      <c r="B216" s="33" t="s">
        <v>92</v>
      </c>
      <c r="C216" s="34" t="n">
        <v>46300.0347222222</v>
      </c>
      <c r="D216" s="34" t="n">
        <v>46300.3173611111</v>
      </c>
      <c r="E216" s="35" t="n">
        <f aca="false">(D216-C216)*24</f>
        <v>6.78333333333333</v>
      </c>
      <c r="F216" s="35" t="n">
        <f aca="false">IF((C216-D215)*24&gt;12,"",(C216-D215)*24)</f>
        <v>0</v>
      </c>
    </row>
    <row r="217" customFormat="false" ht="15" hidden="false" customHeight="false" outlineLevel="0" collapsed="false">
      <c r="A217" s="26" t="n">
        <f aca="false">INT(C217-4/24)</f>
        <v>46300</v>
      </c>
      <c r="B217" s="31" t="s">
        <v>93</v>
      </c>
      <c r="C217" s="30" t="n">
        <v>46300.375</v>
      </c>
      <c r="D217" s="30" t="n">
        <v>46300.4006944444</v>
      </c>
      <c r="E217" s="36" t="n">
        <f aca="false">(D217-C217)*24</f>
        <v>0.616666666666667</v>
      </c>
      <c r="F217" s="36" t="n">
        <f aca="false">IF((C217-D216)*24&gt;12,"",(C217-D216)*24)</f>
        <v>1.38333333333333</v>
      </c>
    </row>
    <row r="218" customFormat="false" ht="15" hidden="false" customHeight="false" outlineLevel="0" collapsed="false">
      <c r="A218" s="26" t="n">
        <f aca="false">INT(C218-4/24)</f>
        <v>46300</v>
      </c>
      <c r="B218" s="31" t="s">
        <v>93</v>
      </c>
      <c r="C218" s="30" t="n">
        <v>46300.4722222222</v>
      </c>
      <c r="D218" s="30" t="n">
        <v>46300.4826388889</v>
      </c>
      <c r="E218" s="36" t="n">
        <f aca="false">(D218-C218)*24</f>
        <v>0.25</v>
      </c>
      <c r="F218" s="36" t="n">
        <f aca="false">IF((C218-D217)*24&gt;12,"",(C218-D217)*24)</f>
        <v>1.71666666666667</v>
      </c>
    </row>
    <row r="219" customFormat="false" ht="15" hidden="false" customHeight="false" outlineLevel="0" collapsed="false">
      <c r="A219" s="26" t="n">
        <f aca="false">INT(C219-4/24)</f>
        <v>46300</v>
      </c>
      <c r="B219" s="31" t="s">
        <v>93</v>
      </c>
      <c r="C219" s="30" t="n">
        <v>46300.5868055556</v>
      </c>
      <c r="D219" s="30" t="n">
        <v>46300.6034722222</v>
      </c>
      <c r="E219" s="36" t="n">
        <f aca="false">(D219-C219)*24</f>
        <v>0.4</v>
      </c>
      <c r="F219" s="36" t="n">
        <f aca="false">IF((C219-D218)*24&gt;12,"",(C219-D218)*24)</f>
        <v>2.5</v>
      </c>
    </row>
    <row r="220" customFormat="false" ht="15" hidden="false" customHeight="false" outlineLevel="0" collapsed="false">
      <c r="A220" s="26" t="n">
        <f aca="false">INT(C220-4/24)</f>
        <v>46300</v>
      </c>
      <c r="B220" s="31" t="s">
        <v>93</v>
      </c>
      <c r="C220" s="30" t="n">
        <v>46300.6125</v>
      </c>
      <c r="D220" s="30" t="n">
        <v>46300.6319444445</v>
      </c>
      <c r="E220" s="36" t="n">
        <f aca="false">(D220-C220)*24</f>
        <v>0.466666666666667</v>
      </c>
      <c r="F220" s="36" t="n">
        <f aca="false">IF((C220-D219)*24&gt;12,"",(C220-D219)*24)</f>
        <v>0.216666666666667</v>
      </c>
    </row>
    <row r="221" customFormat="false" ht="15" hidden="false" customHeight="false" outlineLevel="0" collapsed="false">
      <c r="A221" s="26" t="n">
        <f aca="false">INT(C221-4/24)</f>
        <v>46300</v>
      </c>
      <c r="B221" s="31" t="s">
        <v>93</v>
      </c>
      <c r="C221" s="30" t="n">
        <v>46300.7868055556</v>
      </c>
      <c r="D221" s="30" t="n">
        <v>46300.81875</v>
      </c>
      <c r="E221" s="36" t="n">
        <f aca="false">(D221-C221)*24</f>
        <v>0.766666666666667</v>
      </c>
      <c r="F221" s="36" t="n">
        <f aca="false">IF((C221-D220)*24&gt;12,"",(C221-D220)*24)</f>
        <v>3.71666666666667</v>
      </c>
    </row>
    <row r="222" customFormat="false" ht="15" hidden="false" customHeight="false" outlineLevel="0" collapsed="false">
      <c r="A222" s="26" t="n">
        <f aca="false">INT(C222-4/24)</f>
        <v>46300</v>
      </c>
      <c r="B222" s="31" t="s">
        <v>93</v>
      </c>
      <c r="C222" s="30" t="n">
        <v>46301.0055555556</v>
      </c>
      <c r="D222" s="30" t="n">
        <v>46301.03125</v>
      </c>
      <c r="E222" s="36" t="n">
        <f aca="false">(D222-C222)*24</f>
        <v>0.616666666666667</v>
      </c>
      <c r="F222" s="36" t="n">
        <f aca="false">IF((C222-D221)*24&gt;12,"",(C222-D221)*24)</f>
        <v>4.48333333333333</v>
      </c>
    </row>
    <row r="223" customFormat="false" ht="15" hidden="false" customHeight="false" outlineLevel="0" collapsed="false">
      <c r="A223" s="32" t="n">
        <f aca="false">INT(C223-4/24)</f>
        <v>46300</v>
      </c>
      <c r="B223" s="33" t="s">
        <v>92</v>
      </c>
      <c r="C223" s="34" t="n">
        <v>46301.0319444445</v>
      </c>
      <c r="D223" s="34" t="n">
        <v>46301.3576388889</v>
      </c>
      <c r="E223" s="35" t="n">
        <f aca="false">(D223-C223)*24</f>
        <v>7.81666666666667</v>
      </c>
      <c r="F223" s="35" t="n">
        <f aca="false">IF((C223-D222)*24&gt;12,"",(C223-D222)*24)</f>
        <v>0.0166666666666667</v>
      </c>
    </row>
    <row r="224" customFormat="false" ht="15" hidden="false" customHeight="false" outlineLevel="0" collapsed="false">
      <c r="A224" s="26" t="n">
        <f aca="false">INT(C224-4/24)</f>
        <v>46301</v>
      </c>
      <c r="B224" s="31" t="s">
        <v>93</v>
      </c>
      <c r="C224" s="30" t="n">
        <v>46301.4458333333</v>
      </c>
      <c r="D224" s="30" t="n">
        <v>46301.4638888889</v>
      </c>
      <c r="E224" s="36" t="n">
        <f aca="false">(D224-C224)*24</f>
        <v>0.433333333333333</v>
      </c>
      <c r="F224" s="36" t="n">
        <f aca="false">IF((C224-D223)*24&gt;12,"",(C224-D223)*24)</f>
        <v>2.11666666666667</v>
      </c>
    </row>
    <row r="225" customFormat="false" ht="15" hidden="false" customHeight="false" outlineLevel="0" collapsed="false">
      <c r="A225" s="26" t="n">
        <f aca="false">INT(C225-4/24)</f>
        <v>46301</v>
      </c>
      <c r="B225" s="31" t="s">
        <v>93</v>
      </c>
      <c r="C225" s="30" t="n">
        <v>46301.5430555556</v>
      </c>
      <c r="D225" s="30" t="n">
        <v>46301.6472222222</v>
      </c>
      <c r="E225" s="36" t="n">
        <f aca="false">(D225-C225)*24</f>
        <v>2.5</v>
      </c>
      <c r="F225" s="36" t="n">
        <f aca="false">IF((C225-D224)*24&gt;12,"",(C225-D224)*24)</f>
        <v>1.9</v>
      </c>
    </row>
    <row r="226" customFormat="false" ht="15" hidden="false" customHeight="false" outlineLevel="0" collapsed="false">
      <c r="A226" s="26" t="n">
        <f aca="false">INT(C226-4/24)</f>
        <v>46301</v>
      </c>
      <c r="B226" s="31" t="s">
        <v>93</v>
      </c>
      <c r="C226" s="30" t="n">
        <v>46301.875</v>
      </c>
      <c r="D226" s="30" t="n">
        <v>46301.8951388889</v>
      </c>
      <c r="E226" s="36" t="n">
        <f aca="false">(D226-C226)*24</f>
        <v>0.483333333333333</v>
      </c>
      <c r="F226" s="36" t="n">
        <f aca="false">IF((C226-D225)*24&gt;12,"",(C226-D225)*24)</f>
        <v>5.46666666666667</v>
      </c>
    </row>
    <row r="227" customFormat="false" ht="15" hidden="false" customHeight="false" outlineLevel="0" collapsed="false">
      <c r="A227" s="26" t="n">
        <f aca="false">INT(C227-4/24)</f>
        <v>46301</v>
      </c>
      <c r="B227" s="31" t="s">
        <v>93</v>
      </c>
      <c r="C227" s="30" t="n">
        <v>46302.0201388889</v>
      </c>
      <c r="D227" s="30" t="n">
        <v>46302.0486111111</v>
      </c>
      <c r="E227" s="36" t="n">
        <f aca="false">(D227-C227)*24</f>
        <v>0.683333333333333</v>
      </c>
      <c r="F227" s="36" t="n">
        <f aca="false">IF((C227-D226)*24&gt;12,"",(C227-D226)*24)</f>
        <v>3</v>
      </c>
    </row>
    <row r="228" customFormat="false" ht="15" hidden="false" customHeight="false" outlineLevel="0" collapsed="false">
      <c r="A228" s="32" t="n">
        <f aca="false">INT(C228-4/24)</f>
        <v>46301</v>
      </c>
      <c r="B228" s="33" t="s">
        <v>92</v>
      </c>
      <c r="C228" s="34" t="n">
        <v>46302.0486111111</v>
      </c>
      <c r="D228" s="34" t="n">
        <v>46302.3263888889</v>
      </c>
      <c r="E228" s="35" t="n">
        <f aca="false">(D228-C228)*24</f>
        <v>6.66666666666667</v>
      </c>
      <c r="F228" s="35" t="n">
        <f aca="false">IF((C228-D227)*24&gt;12,"",(C228-D227)*24)</f>
        <v>0</v>
      </c>
    </row>
    <row r="229" customFormat="false" ht="15" hidden="false" customHeight="false" outlineLevel="0" collapsed="false">
      <c r="A229" s="26" t="n">
        <f aca="false">INT(C229-4/24)</f>
        <v>46302</v>
      </c>
      <c r="B229" s="31" t="s">
        <v>93</v>
      </c>
      <c r="C229" s="30" t="n">
        <v>46302.3777777778</v>
      </c>
      <c r="D229" s="30" t="n">
        <v>46302.4166666667</v>
      </c>
      <c r="E229" s="36" t="n">
        <f aca="false">(D229-C229)*24</f>
        <v>0.933333333333333</v>
      </c>
      <c r="F229" s="36" t="n">
        <f aca="false">IF((C229-D228)*24&gt;12,"",(C229-D228)*24)</f>
        <v>1.23333333333333</v>
      </c>
    </row>
    <row r="230" customFormat="false" ht="15" hidden="false" customHeight="false" outlineLevel="0" collapsed="false">
      <c r="A230" s="26" t="n">
        <f aca="false">INT(C230-4/24)</f>
        <v>46302</v>
      </c>
      <c r="B230" s="31" t="s">
        <v>93</v>
      </c>
      <c r="C230" s="30" t="n">
        <v>46302.5569444444</v>
      </c>
      <c r="D230" s="30" t="n">
        <v>46302.6590277778</v>
      </c>
      <c r="E230" s="36" t="n">
        <f aca="false">(D230-C230)*24</f>
        <v>2.45</v>
      </c>
      <c r="F230" s="36" t="n">
        <f aca="false">IF((C230-D229)*24&gt;12,"",(C230-D229)*24)</f>
        <v>3.36666666666667</v>
      </c>
    </row>
    <row r="231" customFormat="false" ht="15" hidden="false" customHeight="false" outlineLevel="0" collapsed="false">
      <c r="A231" s="26" t="n">
        <f aca="false">INT(C231-4/24)</f>
        <v>46302</v>
      </c>
      <c r="B231" s="31" t="s">
        <v>93</v>
      </c>
      <c r="C231" s="30" t="n">
        <v>46302.7604166667</v>
      </c>
      <c r="D231" s="30" t="n">
        <v>46302.7708333333</v>
      </c>
      <c r="E231" s="36" t="n">
        <f aca="false">(D231-C231)*24</f>
        <v>0.250000000465556</v>
      </c>
      <c r="F231" s="36" t="n">
        <f aca="false">IF((C231-D230)*24&gt;12,"",(C231-D230)*24)</f>
        <v>2.43333333333333</v>
      </c>
    </row>
    <row r="232" customFormat="false" ht="15" hidden="false" customHeight="false" outlineLevel="0" collapsed="false">
      <c r="A232" s="32" t="n">
        <f aca="false">INT(C232-4/24)</f>
        <v>46302</v>
      </c>
      <c r="B232" s="33" t="s">
        <v>92</v>
      </c>
      <c r="C232" s="34" t="n">
        <v>46303.0402777778</v>
      </c>
      <c r="D232" s="34" t="n">
        <v>46303.3555555556</v>
      </c>
      <c r="E232" s="35" t="n">
        <f aca="false">(D232-C232)*24</f>
        <v>7.56666666666667</v>
      </c>
      <c r="F232" s="35" t="n">
        <f aca="false">IF((C232-D231)*24&gt;12,"",(C232-D231)*24)</f>
        <v>6.46666666666667</v>
      </c>
    </row>
    <row r="233" customFormat="false" ht="15" hidden="false" customHeight="false" outlineLevel="0" collapsed="false">
      <c r="A233" s="26" t="n">
        <f aca="false">INT(C233-4/24)</f>
        <v>46303</v>
      </c>
      <c r="B233" s="31" t="s">
        <v>93</v>
      </c>
      <c r="C233" s="30" t="n">
        <v>46303.5541666667</v>
      </c>
      <c r="D233" s="30" t="n">
        <v>46303.5604166667</v>
      </c>
      <c r="E233" s="36" t="n">
        <f aca="false">(D233-C233)*24</f>
        <v>0.15</v>
      </c>
      <c r="F233" s="36" t="n">
        <f aca="false">IF((C233-D232)*24&gt;12,"",(C233-D232)*24)</f>
        <v>4.76666666666667</v>
      </c>
    </row>
    <row r="234" customFormat="false" ht="15" hidden="false" customHeight="false" outlineLevel="0" collapsed="false">
      <c r="A234" s="26" t="n">
        <f aca="false">INT(C234-4/24)</f>
        <v>46303</v>
      </c>
      <c r="B234" s="31" t="s">
        <v>93</v>
      </c>
      <c r="C234" s="30" t="n">
        <v>46303.625</v>
      </c>
      <c r="D234" s="30" t="n">
        <v>46303.6736111111</v>
      </c>
      <c r="E234" s="36" t="n">
        <f aca="false">(D234-C234)*24</f>
        <v>1.16666666666667</v>
      </c>
      <c r="F234" s="36" t="n">
        <f aca="false">IF((C234-D233)*24&gt;12,"",(C234-D233)*24)</f>
        <v>1.55</v>
      </c>
    </row>
    <row r="235" customFormat="false" ht="15" hidden="false" customHeight="false" outlineLevel="0" collapsed="false">
      <c r="A235" s="26" t="n">
        <f aca="false">INT(C235-4/24)</f>
        <v>46303</v>
      </c>
      <c r="B235" s="31" t="s">
        <v>93</v>
      </c>
      <c r="C235" s="30" t="n">
        <v>46303.7777777778</v>
      </c>
      <c r="D235" s="30" t="n">
        <v>46303.8055555556</v>
      </c>
      <c r="E235" s="36" t="n">
        <f aca="false">(D235-C235)*24</f>
        <v>0.666666666666667</v>
      </c>
      <c r="F235" s="36" t="n">
        <f aca="false">IF((C235-D234)*24&gt;12,"",(C235-D234)*24)</f>
        <v>2.5</v>
      </c>
    </row>
    <row r="236" customFormat="false" ht="15" hidden="false" customHeight="false" outlineLevel="0" collapsed="false">
      <c r="A236" s="26" t="n">
        <f aca="false">INT(C236-4/24)</f>
        <v>46303</v>
      </c>
      <c r="B236" s="31" t="s">
        <v>93</v>
      </c>
      <c r="C236" s="30" t="n">
        <v>46303.9791666667</v>
      </c>
      <c r="D236" s="30" t="n">
        <v>46304.0152777778</v>
      </c>
      <c r="E236" s="36" t="n">
        <f aca="false">(D236-C236)*24</f>
        <v>0.866666666666667</v>
      </c>
      <c r="F236" s="36" t="n">
        <f aca="false">IF((C236-D235)*24&gt;12,"",(C236-D235)*24)</f>
        <v>4.16666666666667</v>
      </c>
    </row>
    <row r="237" customFormat="false" ht="15" hidden="false" customHeight="false" outlineLevel="0" collapsed="false">
      <c r="A237" s="32" t="n">
        <f aca="false">INT(C237-4/24)</f>
        <v>46303</v>
      </c>
      <c r="B237" s="33" t="s">
        <v>92</v>
      </c>
      <c r="C237" s="34" t="n">
        <v>46304.0152777778</v>
      </c>
      <c r="D237" s="34" t="n">
        <v>46304.3333333333</v>
      </c>
      <c r="E237" s="35" t="n">
        <f aca="false">(D237-C237)*24</f>
        <v>7.63333333333333</v>
      </c>
      <c r="F237" s="35" t="n">
        <f aca="false">IF((C237-D236)*24&gt;12,"",(C237-D236)*24)</f>
        <v>0</v>
      </c>
    </row>
    <row r="238" customFormat="false" ht="15" hidden="false" customHeight="false" outlineLevel="0" collapsed="false">
      <c r="A238" s="26" t="n">
        <f aca="false">INT(C238-4/24)</f>
        <v>46304</v>
      </c>
      <c r="B238" s="31" t="s">
        <v>93</v>
      </c>
      <c r="C238" s="30" t="n">
        <v>46304.575</v>
      </c>
      <c r="D238" s="30" t="n">
        <v>46304.5888888889</v>
      </c>
      <c r="E238" s="36" t="n">
        <f aca="false">(D238-C238)*24</f>
        <v>0.333333333333333</v>
      </c>
      <c r="F238" s="36" t="n">
        <f aca="false">IF((C238-D237)*24&gt;12,"",(C238-D237)*24)</f>
        <v>5.79999999969722</v>
      </c>
    </row>
    <row r="239" customFormat="false" ht="15" hidden="false" customHeight="false" outlineLevel="0" collapsed="false">
      <c r="A239" s="26" t="n">
        <f aca="false">INT(C239-4/24)</f>
        <v>46304</v>
      </c>
      <c r="B239" s="31" t="s">
        <v>93</v>
      </c>
      <c r="C239" s="30" t="n">
        <v>46304.7333333333</v>
      </c>
      <c r="D239" s="30" t="n">
        <v>46304.7708333333</v>
      </c>
      <c r="E239" s="36" t="n">
        <f aca="false">(D239-C239)*24</f>
        <v>0.900000000314167</v>
      </c>
      <c r="F239" s="36" t="n">
        <f aca="false">IF((C239-D238)*24&gt;12,"",(C239-D238)*24)</f>
        <v>3.46666666666667</v>
      </c>
    </row>
    <row r="240" customFormat="false" ht="15" hidden="false" customHeight="false" outlineLevel="0" collapsed="false">
      <c r="A240" s="26" t="n">
        <f aca="false">INT(C240-4/24)</f>
        <v>46304</v>
      </c>
      <c r="B240" s="31" t="s">
        <v>93</v>
      </c>
      <c r="C240" s="30" t="n">
        <v>46304.9270833333</v>
      </c>
      <c r="D240" s="30" t="n">
        <v>46304.9479166667</v>
      </c>
      <c r="E240" s="36" t="n">
        <f aca="false">(D240-C240)*24</f>
        <v>0.499999999534167</v>
      </c>
      <c r="F240" s="36" t="n">
        <f aca="false">IF((C240-D239)*24&gt;12,"",(C240-D239)*24)</f>
        <v>3.75</v>
      </c>
    </row>
    <row r="241" customFormat="false" ht="15" hidden="false" customHeight="false" outlineLevel="0" collapsed="false">
      <c r="A241" s="26" t="n">
        <f aca="false">INT(C241-4/24)</f>
        <v>46304</v>
      </c>
      <c r="B241" s="31" t="s">
        <v>93</v>
      </c>
      <c r="C241" s="30" t="n">
        <v>46305.0076388889</v>
      </c>
      <c r="D241" s="30" t="n">
        <v>46305.0347222222</v>
      </c>
      <c r="E241" s="36" t="n">
        <f aca="false">(D241-C241)*24</f>
        <v>0.65</v>
      </c>
      <c r="F241" s="36" t="n">
        <f aca="false">IF((C241-D240)*24&gt;12,"",(C241-D240)*24)</f>
        <v>1.43333333363972</v>
      </c>
    </row>
    <row r="242" customFormat="false" ht="15" hidden="false" customHeight="false" outlineLevel="0" collapsed="false">
      <c r="A242" s="32" t="n">
        <f aca="false">INT(C242-4/24)</f>
        <v>46304</v>
      </c>
      <c r="B242" s="33" t="s">
        <v>92</v>
      </c>
      <c r="C242" s="34" t="n">
        <v>46305.0347222222</v>
      </c>
      <c r="D242" s="34" t="n">
        <v>46305.3631944444</v>
      </c>
      <c r="E242" s="35" t="n">
        <f aca="false">(D242-C242)*24</f>
        <v>7.88333333333333</v>
      </c>
      <c r="F242" s="35" t="n">
        <f aca="false">IF((C242-D241)*24&gt;12,"",(C242-D241)*24)</f>
        <v>0</v>
      </c>
    </row>
    <row r="243" customFormat="false" ht="15" hidden="false" customHeight="false" outlineLevel="0" collapsed="false">
      <c r="A243" s="26" t="n">
        <f aca="false">INT(C243-4/24)</f>
        <v>46305</v>
      </c>
      <c r="B243" s="31" t="s">
        <v>93</v>
      </c>
      <c r="C243" s="30" t="n">
        <v>46305.5861111111</v>
      </c>
      <c r="D243" s="30" t="n">
        <v>46305.6145833333</v>
      </c>
      <c r="E243" s="36" t="n">
        <f aca="false">(D243-C243)*24</f>
        <v>0.683333333639722</v>
      </c>
      <c r="F243" s="36" t="n">
        <f aca="false">IF((C243-D242)*24&gt;12,"",(C243-D242)*24)</f>
        <v>5.35</v>
      </c>
    </row>
    <row r="244" customFormat="false" ht="15" hidden="false" customHeight="false" outlineLevel="0" collapsed="false">
      <c r="A244" s="26" t="n">
        <f aca="false">INT(C244-4/24)</f>
        <v>46305</v>
      </c>
      <c r="B244" s="31" t="s">
        <v>93</v>
      </c>
      <c r="C244" s="30" t="n">
        <v>46305.7048611111</v>
      </c>
      <c r="D244" s="30" t="n">
        <v>46305.7291666667</v>
      </c>
      <c r="E244" s="36" t="n">
        <f aca="false">(D244-C244)*24</f>
        <v>0.583333333333333</v>
      </c>
      <c r="F244" s="36" t="n">
        <f aca="false">IF((C244-D243)*24&gt;12,"",(C244-D243)*24)</f>
        <v>2.16666666666667</v>
      </c>
    </row>
    <row r="245" customFormat="false" ht="15" hidden="false" customHeight="false" outlineLevel="0" collapsed="false">
      <c r="A245" s="26" t="n">
        <f aca="false">INT(C245-4/24)</f>
        <v>46305</v>
      </c>
      <c r="B245" s="31" t="s">
        <v>93</v>
      </c>
      <c r="C245" s="30" t="n">
        <v>46305.8368055556</v>
      </c>
      <c r="D245" s="30" t="n">
        <v>46305.8513888889</v>
      </c>
      <c r="E245" s="36" t="n">
        <f aca="false">(D245-C245)*24</f>
        <v>0.35</v>
      </c>
      <c r="F245" s="36" t="n">
        <f aca="false">IF((C245-D244)*24&gt;12,"",(C245-D244)*24)</f>
        <v>2.58333333333333</v>
      </c>
    </row>
    <row r="246" customFormat="false" ht="15" hidden="false" customHeight="false" outlineLevel="0" collapsed="false">
      <c r="A246" s="26" t="n">
        <f aca="false">INT(C246-4/24)</f>
        <v>46305</v>
      </c>
      <c r="B246" s="31" t="s">
        <v>93</v>
      </c>
      <c r="C246" s="30" t="n">
        <v>46305.9756944445</v>
      </c>
      <c r="D246" s="30" t="n">
        <v>46306.0097222222</v>
      </c>
      <c r="E246" s="36" t="n">
        <f aca="false">(D246-C246)*24</f>
        <v>0.81666666636</v>
      </c>
      <c r="F246" s="36" t="n">
        <f aca="false">IF((C246-D245)*24&gt;12,"",(C246-D245)*24)</f>
        <v>2.98333333333333</v>
      </c>
    </row>
    <row r="247" customFormat="false" ht="15" hidden="false" customHeight="false" outlineLevel="0" collapsed="false">
      <c r="A247" s="32" t="n">
        <f aca="false">INT(C247-4/24)</f>
        <v>46305</v>
      </c>
      <c r="B247" s="33" t="s">
        <v>92</v>
      </c>
      <c r="C247" s="34" t="n">
        <v>46306.0104166667</v>
      </c>
      <c r="D247" s="34" t="n">
        <v>46306.4118055556</v>
      </c>
      <c r="E247" s="35" t="n">
        <f aca="false">(D247-C247)*24</f>
        <v>9.63333333365139</v>
      </c>
      <c r="F247" s="35" t="n">
        <f aca="false">IF((C247-D246)*24&gt;12,"",(C247-D246)*24)</f>
        <v>0.0166666666666667</v>
      </c>
    </row>
    <row r="248" customFormat="false" ht="15" hidden="false" customHeight="false" outlineLevel="0" collapsed="false">
      <c r="A248" s="26" t="n">
        <f aca="false">INT(C248-4/24)</f>
        <v>46306</v>
      </c>
      <c r="B248" s="31" t="s">
        <v>93</v>
      </c>
      <c r="C248" s="30" t="n">
        <v>46306.5194444444</v>
      </c>
      <c r="D248" s="30" t="n">
        <v>46306.53125</v>
      </c>
      <c r="E248" s="36" t="n">
        <f aca="false">(D248-C248)*24</f>
        <v>0.283333333333333</v>
      </c>
      <c r="F248" s="36" t="n">
        <f aca="false">IF((C248-D247)*24&gt;12,"",(C248-D247)*24)</f>
        <v>2.58333333333333</v>
      </c>
    </row>
    <row r="249" customFormat="false" ht="15" hidden="false" customHeight="false" outlineLevel="0" collapsed="false">
      <c r="A249" s="26" t="n">
        <f aca="false">INT(C249-4/24)</f>
        <v>46306</v>
      </c>
      <c r="B249" s="31" t="s">
        <v>93</v>
      </c>
      <c r="C249" s="30" t="n">
        <v>46306.6173611111</v>
      </c>
      <c r="D249" s="30" t="n">
        <v>46306.6416666667</v>
      </c>
      <c r="E249" s="36" t="n">
        <f aca="false">(D249-C249)*24</f>
        <v>0.583333333333333</v>
      </c>
      <c r="F249" s="36" t="n">
        <f aca="false">IF((C249-D248)*24&gt;12,"",(C249-D248)*24)</f>
        <v>2.06666666666667</v>
      </c>
    </row>
    <row r="250" customFormat="false" ht="15" hidden="false" customHeight="false" outlineLevel="0" collapsed="false">
      <c r="A250" s="26" t="n">
        <f aca="false">INT(C250-4/24)</f>
        <v>46306</v>
      </c>
      <c r="B250" s="31" t="s">
        <v>93</v>
      </c>
      <c r="C250" s="30" t="n">
        <v>46306.7666666667</v>
      </c>
      <c r="D250" s="30" t="n">
        <v>46306.7854166667</v>
      </c>
      <c r="E250" s="36" t="n">
        <f aca="false">(D250-C250)*24</f>
        <v>0.45</v>
      </c>
      <c r="F250" s="36" t="n">
        <f aca="false">IF((C250-D249)*24&gt;12,"",(C250-D249)*24)</f>
        <v>3</v>
      </c>
    </row>
    <row r="251" customFormat="false" ht="15" hidden="false" customHeight="false" outlineLevel="0" collapsed="false">
      <c r="A251" s="26" t="n">
        <f aca="false">INT(C251-4/24)</f>
        <v>46306</v>
      </c>
      <c r="B251" s="31" t="s">
        <v>93</v>
      </c>
      <c r="C251" s="30" t="n">
        <v>46306.8958333333</v>
      </c>
      <c r="D251" s="30" t="n">
        <v>46306.9326388889</v>
      </c>
      <c r="E251" s="36" t="n">
        <f aca="false">(D251-C251)*24</f>
        <v>0.883333333333333</v>
      </c>
      <c r="F251" s="36" t="n">
        <f aca="false">IF((C251-D250)*24&gt;12,"",(C251-D250)*24)</f>
        <v>2.65</v>
      </c>
    </row>
    <row r="252" customFormat="false" ht="15" hidden="false" customHeight="false" outlineLevel="0" collapsed="false">
      <c r="A252" s="26" t="n">
        <f aca="false">INT(C252-4/24)</f>
        <v>46306</v>
      </c>
      <c r="B252" s="31" t="s">
        <v>93</v>
      </c>
      <c r="C252" s="30" t="n">
        <v>46307.0326388889</v>
      </c>
      <c r="D252" s="30" t="n">
        <v>46307.0583333333</v>
      </c>
      <c r="E252" s="36" t="n">
        <f aca="false">(D252-C252)*24</f>
        <v>0.616666666666667</v>
      </c>
      <c r="F252" s="36" t="n">
        <f aca="false">IF((C252-D251)*24&gt;12,"",(C252-D251)*24)</f>
        <v>2.4</v>
      </c>
    </row>
    <row r="253" customFormat="false" ht="15" hidden="false" customHeight="false" outlineLevel="0" collapsed="false">
      <c r="A253" s="32" t="n">
        <f aca="false">INT(C253-4/24)</f>
        <v>46306</v>
      </c>
      <c r="B253" s="33" t="s">
        <v>92</v>
      </c>
      <c r="C253" s="34" t="n">
        <v>46307.0583333333</v>
      </c>
      <c r="D253" s="34" t="n">
        <v>46307.3652777778</v>
      </c>
      <c r="E253" s="35" t="n">
        <f aca="false">(D253-C253)*24</f>
        <v>7.36666666666667</v>
      </c>
      <c r="F253" s="35" t="n">
        <f aca="false">IF((C253-D252)*24&gt;12,"",(C253-D252)*24)</f>
        <v>0</v>
      </c>
    </row>
    <row r="254" customFormat="false" ht="15" hidden="false" customHeight="false" outlineLevel="0" collapsed="false">
      <c r="A254" s="26" t="n">
        <f aca="false">INT(C254-4/24)</f>
        <v>46307</v>
      </c>
      <c r="B254" s="31" t="s">
        <v>93</v>
      </c>
      <c r="C254" s="30" t="n">
        <v>46307.4583333333</v>
      </c>
      <c r="D254" s="30" t="n">
        <v>46307.5069444445</v>
      </c>
      <c r="E254" s="36" t="n">
        <f aca="false">(D254-C254)*24</f>
        <v>1.16666666666667</v>
      </c>
      <c r="F254" s="36" t="n">
        <f aca="false">IF((C254-D253)*24&gt;12,"",(C254-D253)*24)</f>
        <v>2.23333333333333</v>
      </c>
    </row>
    <row r="255" customFormat="false" ht="15" hidden="false" customHeight="false" outlineLevel="0" collapsed="false">
      <c r="A255" s="26" t="n">
        <f aca="false">INT(C255-4/24)</f>
        <v>46307</v>
      </c>
      <c r="B255" s="31" t="s">
        <v>93</v>
      </c>
      <c r="C255" s="30" t="n">
        <v>46307.69375</v>
      </c>
      <c r="D255" s="30" t="n">
        <v>46307.75</v>
      </c>
      <c r="E255" s="36" t="n">
        <f aca="false">(D255-C255)*24</f>
        <v>1.35</v>
      </c>
      <c r="F255" s="36" t="n">
        <f aca="false">IF((C255-D254)*24&gt;12,"",(C255-D254)*24)</f>
        <v>4.48333333333333</v>
      </c>
    </row>
    <row r="256" customFormat="false" ht="15" hidden="false" customHeight="false" outlineLevel="0" collapsed="false">
      <c r="A256" s="26" t="n">
        <f aca="false">INT(C256-4/24)</f>
        <v>46307</v>
      </c>
      <c r="B256" s="31" t="s">
        <v>93</v>
      </c>
      <c r="C256" s="30" t="n">
        <v>46307.9326388889</v>
      </c>
      <c r="D256" s="30" t="n">
        <v>46307.9659722222</v>
      </c>
      <c r="E256" s="36" t="n">
        <f aca="false">(D256-C256)*24</f>
        <v>0.8</v>
      </c>
      <c r="F256" s="36" t="n">
        <f aca="false">IF((C256-D255)*24&gt;12,"",(C256-D255)*24)</f>
        <v>4.38333333333333</v>
      </c>
    </row>
    <row r="257" customFormat="false" ht="15" hidden="false" customHeight="false" outlineLevel="0" collapsed="false">
      <c r="A257" s="32" t="n">
        <f aca="false">INT(C257-4/24)</f>
        <v>46307</v>
      </c>
      <c r="B257" s="33" t="s">
        <v>92</v>
      </c>
      <c r="C257" s="34" t="n">
        <v>46308.0763888889</v>
      </c>
      <c r="D257" s="34" t="n">
        <v>46308.3541666667</v>
      </c>
      <c r="E257" s="35" t="n">
        <f aca="false">(D257-C257)*24</f>
        <v>6.66666666666667</v>
      </c>
      <c r="F257" s="35" t="n">
        <f aca="false">IF((C257-D256)*24&gt;12,"",(C257-D256)*24)</f>
        <v>2.65</v>
      </c>
    </row>
    <row r="258" customFormat="false" ht="15" hidden="false" customHeight="false" outlineLevel="0" collapsed="false">
      <c r="A258" s="26" t="n">
        <f aca="false">INT(C258-4/24)</f>
        <v>46308</v>
      </c>
      <c r="B258" s="31" t="s">
        <v>93</v>
      </c>
      <c r="C258" s="30" t="n">
        <v>46308.4006944444</v>
      </c>
      <c r="D258" s="30" t="n">
        <v>46308.4201388889</v>
      </c>
      <c r="E258" s="36" t="n">
        <f aca="false">(D258-C258)*24</f>
        <v>0.466666666666667</v>
      </c>
      <c r="F258" s="36" t="n">
        <f aca="false">IF((C258-D257)*24&gt;12,"",(C258-D257)*24)</f>
        <v>1.11666666666667</v>
      </c>
    </row>
    <row r="259" customFormat="false" ht="15" hidden="false" customHeight="false" outlineLevel="0" collapsed="false">
      <c r="A259" s="26" t="n">
        <f aca="false">INT(C259-4/24)</f>
        <v>46308</v>
      </c>
      <c r="B259" s="31" t="s">
        <v>93</v>
      </c>
      <c r="C259" s="30" t="n">
        <v>46308.4618055556</v>
      </c>
      <c r="D259" s="30" t="n">
        <v>46308.4791666667</v>
      </c>
      <c r="E259" s="36" t="n">
        <f aca="false">(D259-C259)*24</f>
        <v>0.416666666666667</v>
      </c>
      <c r="F259" s="36" t="n">
        <f aca="false">IF((C259-D258)*24&gt;12,"",(C259-D258)*24)</f>
        <v>1</v>
      </c>
    </row>
    <row r="260" customFormat="false" ht="15" hidden="false" customHeight="false" outlineLevel="0" collapsed="false">
      <c r="A260" s="26" t="n">
        <f aca="false">INT(C260-4/24)</f>
        <v>46308</v>
      </c>
      <c r="B260" s="31" t="s">
        <v>93</v>
      </c>
      <c r="C260" s="30" t="n">
        <v>46308.7083333333</v>
      </c>
      <c r="D260" s="30" t="n">
        <v>46308.7291666667</v>
      </c>
      <c r="E260" s="36" t="n">
        <f aca="false">(D260-C260)*24</f>
        <v>0.499999999534167</v>
      </c>
      <c r="F260" s="36" t="n">
        <f aca="false">IF((C260-D259)*24&gt;12,"",(C260-D259)*24)</f>
        <v>5.50000000046556</v>
      </c>
    </row>
    <row r="261" customFormat="false" ht="15" hidden="false" customHeight="false" outlineLevel="0" collapsed="false">
      <c r="A261" s="26" t="n">
        <f aca="false">INT(C261-4/24)</f>
        <v>46308</v>
      </c>
      <c r="B261" s="31" t="s">
        <v>93</v>
      </c>
      <c r="C261" s="30" t="n">
        <v>46308.7569444445</v>
      </c>
      <c r="D261" s="30" t="n">
        <v>46308.7881944445</v>
      </c>
      <c r="E261" s="36" t="n">
        <f aca="false">(D261-C261)*24</f>
        <v>0.75</v>
      </c>
      <c r="F261" s="36" t="n">
        <f aca="false">IF((C261-D260)*24&gt;12,"",(C261-D260)*24)</f>
        <v>0.666666667093333</v>
      </c>
    </row>
    <row r="262" customFormat="false" ht="15" hidden="false" customHeight="false" outlineLevel="0" collapsed="false">
      <c r="A262" s="26" t="n">
        <f aca="false">INT(C262-4/24)</f>
        <v>46308</v>
      </c>
      <c r="B262" s="31" t="s">
        <v>93</v>
      </c>
      <c r="C262" s="30" t="n">
        <v>46308.9965277778</v>
      </c>
      <c r="D262" s="30" t="n">
        <v>46309.0243055556</v>
      </c>
      <c r="E262" s="36" t="n">
        <f aca="false">(D262-C262)*24</f>
        <v>0.666666666666667</v>
      </c>
      <c r="F262" s="36" t="n">
        <f aca="false">IF((C262-D261)*24&gt;12,"",(C262-D261)*24)</f>
        <v>5</v>
      </c>
    </row>
    <row r="263" customFormat="false" ht="15" hidden="false" customHeight="false" outlineLevel="0" collapsed="false">
      <c r="A263" s="32" t="n">
        <f aca="false">INT(C263-4/24)</f>
        <v>46308</v>
      </c>
      <c r="B263" s="33" t="s">
        <v>92</v>
      </c>
      <c r="C263" s="34" t="n">
        <v>46309.0243055556</v>
      </c>
      <c r="D263" s="34" t="n">
        <v>46309.2673611111</v>
      </c>
      <c r="E263" s="35" t="n">
        <f aca="false">(D263-C263)*24</f>
        <v>5.83333333333333</v>
      </c>
      <c r="F263" s="35" t="n">
        <f aca="false">IF((C263-D262)*24&gt;12,"",(C263-D262)*24)</f>
        <v>0</v>
      </c>
    </row>
    <row r="264" customFormat="false" ht="15" hidden="false" customHeight="false" outlineLevel="0" collapsed="false">
      <c r="A264" s="26" t="n">
        <f aca="false">INT(C264-4/24)</f>
        <v>46309</v>
      </c>
      <c r="B264" s="31" t="s">
        <v>93</v>
      </c>
      <c r="C264" s="30" t="n">
        <v>46309.4270833333</v>
      </c>
      <c r="D264" s="30" t="n">
        <v>46309.4826388889</v>
      </c>
      <c r="E264" s="36" t="n">
        <f aca="false">(D264-C264)*24</f>
        <v>1.33333333333333</v>
      </c>
      <c r="F264" s="36" t="n">
        <f aca="false">IF((C264-D263)*24&gt;12,"",(C264-D263)*24)</f>
        <v>3.83333333333333</v>
      </c>
    </row>
    <row r="265" customFormat="false" ht="15" hidden="false" customHeight="false" outlineLevel="0" collapsed="false">
      <c r="A265" s="26" t="n">
        <f aca="false">INT(C265-4/24)</f>
        <v>46309</v>
      </c>
      <c r="B265" s="31" t="s">
        <v>93</v>
      </c>
      <c r="C265" s="30" t="n">
        <v>46309.5708333333</v>
      </c>
      <c r="D265" s="30" t="n">
        <v>46309.5930555556</v>
      </c>
      <c r="E265" s="36" t="n">
        <f aca="false">(D265-C265)*24</f>
        <v>0.533333333333333</v>
      </c>
      <c r="F265" s="36" t="n">
        <f aca="false">IF((C265-D264)*24&gt;12,"",(C265-D264)*24)</f>
        <v>2.11666666666667</v>
      </c>
    </row>
    <row r="266" customFormat="false" ht="15" hidden="false" customHeight="false" outlineLevel="0" collapsed="false">
      <c r="A266" s="26" t="n">
        <f aca="false">INT(C266-4/24)</f>
        <v>46309</v>
      </c>
      <c r="B266" s="31" t="s">
        <v>93</v>
      </c>
      <c r="C266" s="30" t="n">
        <v>46309.6979166667</v>
      </c>
      <c r="D266" s="30" t="n">
        <v>46309.7291666667</v>
      </c>
      <c r="E266" s="36" t="n">
        <f aca="false">(D266-C266)*24</f>
        <v>0.75</v>
      </c>
      <c r="F266" s="36" t="n">
        <f aca="false">IF((C266-D265)*24&gt;12,"",(C266-D265)*24)</f>
        <v>2.51666666666667</v>
      </c>
    </row>
    <row r="267" customFormat="false" ht="15" hidden="false" customHeight="false" outlineLevel="0" collapsed="false">
      <c r="A267" s="26" t="n">
        <f aca="false">INT(C267-4/24)</f>
        <v>46309</v>
      </c>
      <c r="B267" s="31" t="s">
        <v>93</v>
      </c>
      <c r="C267" s="30" t="n">
        <v>46309.8368055556</v>
      </c>
      <c r="D267" s="30" t="n">
        <v>46309.86875</v>
      </c>
      <c r="E267" s="36" t="n">
        <f aca="false">(D267-C267)*24</f>
        <v>0.766666666666667</v>
      </c>
      <c r="F267" s="36" t="n">
        <f aca="false">IF((C267-D266)*24&gt;12,"",(C267-D266)*24)</f>
        <v>2.58333333333333</v>
      </c>
    </row>
    <row r="268" customFormat="false" ht="15" hidden="false" customHeight="false" outlineLevel="0" collapsed="false">
      <c r="A268" s="26" t="n">
        <f aca="false">INT(C268-4/24)</f>
        <v>46309</v>
      </c>
      <c r="B268" s="31" t="s">
        <v>93</v>
      </c>
      <c r="C268" s="30" t="n">
        <v>46309.9708333333</v>
      </c>
      <c r="D268" s="30" t="n">
        <v>46310.0131944444</v>
      </c>
      <c r="E268" s="36" t="n">
        <f aca="false">(D268-C268)*24</f>
        <v>1.01666666666667</v>
      </c>
      <c r="F268" s="36" t="n">
        <f aca="false">IF((C268-D267)*24&gt;12,"",(C268-D267)*24)</f>
        <v>2.45</v>
      </c>
    </row>
    <row r="269" customFormat="false" ht="15" hidden="false" customHeight="false" outlineLevel="0" collapsed="false">
      <c r="A269" s="32" t="n">
        <f aca="false">INT(C269-4/24)</f>
        <v>46309</v>
      </c>
      <c r="B269" s="33" t="s">
        <v>92</v>
      </c>
      <c r="C269" s="34" t="n">
        <v>46310.0361111111</v>
      </c>
      <c r="D269" s="34" t="n">
        <v>46310.3465277778</v>
      </c>
      <c r="E269" s="35" t="n">
        <f aca="false">(D269-C269)*24</f>
        <v>7.45</v>
      </c>
      <c r="F269" s="35" t="n">
        <f aca="false">IF((C269-D268)*24&gt;12,"",(C269-D268)*24)</f>
        <v>0.55</v>
      </c>
    </row>
    <row r="270" customFormat="false" ht="15" hidden="false" customHeight="false" outlineLevel="0" collapsed="false">
      <c r="A270" s="26" t="n">
        <f aca="false">INT(C270-4/24)</f>
        <v>46310</v>
      </c>
      <c r="B270" s="31" t="s">
        <v>93</v>
      </c>
      <c r="C270" s="30" t="n">
        <v>46310.4236111111</v>
      </c>
      <c r="D270" s="30" t="n">
        <v>46310.4493055556</v>
      </c>
      <c r="E270" s="36" t="n">
        <f aca="false">(D270-C270)*24</f>
        <v>0.616666666666667</v>
      </c>
      <c r="F270" s="36" t="n">
        <f aca="false">IF((C270-D269)*24&gt;12,"",(C270-D269)*24)</f>
        <v>1.85</v>
      </c>
    </row>
    <row r="271" customFormat="false" ht="15" hidden="false" customHeight="false" outlineLevel="0" collapsed="false">
      <c r="A271" s="26" t="n">
        <f aca="false">INT(C271-4/24)</f>
        <v>46310</v>
      </c>
      <c r="B271" s="31" t="s">
        <v>93</v>
      </c>
      <c r="C271" s="30" t="n">
        <v>46310.5631944445</v>
      </c>
      <c r="D271" s="30" t="n">
        <v>46310.6444444444</v>
      </c>
      <c r="E271" s="36" t="n">
        <f aca="false">(D271-C271)*24</f>
        <v>1.95</v>
      </c>
      <c r="F271" s="36" t="n">
        <f aca="false">IF((C271-D270)*24&gt;12,"",(C271-D270)*24)</f>
        <v>2.73333333333333</v>
      </c>
    </row>
    <row r="272" customFormat="false" ht="15" hidden="false" customHeight="false" outlineLevel="0" collapsed="false">
      <c r="A272" s="26" t="n">
        <f aca="false">INT(C272-4/24)</f>
        <v>46310</v>
      </c>
      <c r="B272" s="31" t="s">
        <v>93</v>
      </c>
      <c r="C272" s="30" t="n">
        <v>46311.0263888889</v>
      </c>
      <c r="D272" s="30" t="n">
        <v>46311.0625</v>
      </c>
      <c r="E272" s="36" t="n">
        <f aca="false">(D272-C272)*24</f>
        <v>0.866666666666667</v>
      </c>
      <c r="F272" s="36" t="n">
        <f aca="false">IF((C272-D271)*24&gt;12,"",(C272-D271)*24)</f>
        <v>9.16666666666667</v>
      </c>
    </row>
    <row r="273" customFormat="false" ht="15" hidden="false" customHeight="false" outlineLevel="0" collapsed="false">
      <c r="A273" s="32" t="n">
        <f aca="false">INT(C273-4/24)</f>
        <v>46310</v>
      </c>
      <c r="B273" s="33" t="s">
        <v>92</v>
      </c>
      <c r="C273" s="34" t="n">
        <v>46311.0631944445</v>
      </c>
      <c r="D273" s="34" t="n">
        <v>46311.39375</v>
      </c>
      <c r="E273" s="35" t="n">
        <f aca="false">(D273-C273)*24</f>
        <v>7.93333333333333</v>
      </c>
      <c r="F273" s="35" t="n">
        <f aca="false">IF((C273-D272)*24&gt;12,"",(C273-D272)*24)</f>
        <v>0.0166666666666667</v>
      </c>
    </row>
    <row r="274" customFormat="false" ht="15" hidden="false" customHeight="false" outlineLevel="0" collapsed="false">
      <c r="A274" s="26" t="n">
        <f aca="false">INT(C274-4/24)</f>
        <v>46311</v>
      </c>
      <c r="B274" s="31" t="s">
        <v>93</v>
      </c>
      <c r="C274" s="30" t="n">
        <v>46311.5416666667</v>
      </c>
      <c r="D274" s="30" t="n">
        <v>46311.5548611111</v>
      </c>
      <c r="E274" s="36" t="n">
        <f aca="false">(D274-C274)*24</f>
        <v>0.316666666666667</v>
      </c>
      <c r="F274" s="36" t="n">
        <f aca="false">IF((C274-D273)*24&gt;12,"",(C274-D273)*24)</f>
        <v>3.54999999969722</v>
      </c>
    </row>
    <row r="275" customFormat="false" ht="15" hidden="false" customHeight="false" outlineLevel="0" collapsed="false">
      <c r="A275" s="26" t="n">
        <f aca="false">INT(C275-4/24)</f>
        <v>46311</v>
      </c>
      <c r="B275" s="31" t="s">
        <v>93</v>
      </c>
      <c r="C275" s="30" t="n">
        <v>46311.7083333333</v>
      </c>
      <c r="D275" s="30" t="n">
        <v>46311.7590277778</v>
      </c>
      <c r="E275" s="36" t="n">
        <f aca="false">(D275-C275)*24</f>
        <v>1.21666666666667</v>
      </c>
      <c r="F275" s="36" t="n">
        <f aca="false">IF((C275-D274)*24&gt;12,"",(C275-D274)*24)</f>
        <v>3.68333333363972</v>
      </c>
    </row>
    <row r="276" customFormat="false" ht="15" hidden="false" customHeight="false" outlineLevel="0" collapsed="false">
      <c r="A276" s="26" t="n">
        <f aca="false">INT(C276-4/24)</f>
        <v>46311</v>
      </c>
      <c r="B276" s="31" t="s">
        <v>93</v>
      </c>
      <c r="C276" s="30" t="n">
        <v>46312.0354166667</v>
      </c>
      <c r="D276" s="30" t="n">
        <v>46312.0611111111</v>
      </c>
      <c r="E276" s="36" t="n">
        <f aca="false">(D276-C276)*24</f>
        <v>0.616666666666667</v>
      </c>
      <c r="F276" s="36" t="n">
        <f aca="false">IF((C276-D275)*24&gt;12,"",(C276-D275)*24)</f>
        <v>6.63333333333333</v>
      </c>
    </row>
    <row r="277" customFormat="false" ht="15" hidden="false" customHeight="false" outlineLevel="0" collapsed="false">
      <c r="A277" s="32" t="n">
        <f aca="false">INT(C277-4/24)</f>
        <v>46311</v>
      </c>
      <c r="B277" s="33" t="s">
        <v>92</v>
      </c>
      <c r="C277" s="34" t="n">
        <v>46312.0611111111</v>
      </c>
      <c r="D277" s="34" t="n">
        <v>46312.3819444445</v>
      </c>
      <c r="E277" s="35" t="n">
        <f aca="false">(D277-C277)*24</f>
        <v>7.7000000003025</v>
      </c>
      <c r="F277" s="35" t="n">
        <f aca="false">IF((C277-D276)*24&gt;12,"",(C277-D276)*24)</f>
        <v>0</v>
      </c>
    </row>
    <row r="278" customFormat="false" ht="15" hidden="false" customHeight="false" outlineLevel="0" collapsed="false">
      <c r="A278" s="26" t="n">
        <f aca="false">INT(C278-4/24)</f>
        <v>46312</v>
      </c>
      <c r="B278" s="31" t="s">
        <v>93</v>
      </c>
      <c r="C278" s="30" t="n">
        <v>46312.4520833333</v>
      </c>
      <c r="D278" s="30" t="n">
        <v>46312.4694444445</v>
      </c>
      <c r="E278" s="36" t="n">
        <f aca="false">(D278-C278)*24</f>
        <v>0.416666666666667</v>
      </c>
      <c r="F278" s="36" t="n">
        <f aca="false">IF((C278-D277)*24&gt;12,"",(C278-D277)*24)</f>
        <v>1.68333333333333</v>
      </c>
    </row>
    <row r="279" customFormat="false" ht="15" hidden="false" customHeight="false" outlineLevel="0" collapsed="false">
      <c r="A279" s="26" t="n">
        <f aca="false">INT(C279-4/24)</f>
        <v>46312</v>
      </c>
      <c r="B279" s="31" t="s">
        <v>93</v>
      </c>
      <c r="C279" s="30" t="n">
        <v>46312.5520833333</v>
      </c>
      <c r="D279" s="30" t="n">
        <v>46312.5756944444</v>
      </c>
      <c r="E279" s="36" t="n">
        <f aca="false">(D279-C279)*24</f>
        <v>0.566666666243611</v>
      </c>
      <c r="F279" s="36" t="n">
        <f aca="false">IF((C279-D278)*24&gt;12,"",(C279-D278)*24)</f>
        <v>1.98333333333333</v>
      </c>
    </row>
    <row r="280" customFormat="false" ht="15" hidden="false" customHeight="false" outlineLevel="0" collapsed="false">
      <c r="A280" s="26" t="n">
        <f aca="false">INT(C280-4/24)</f>
        <v>46312</v>
      </c>
      <c r="B280" s="31" t="s">
        <v>93</v>
      </c>
      <c r="C280" s="30" t="n">
        <v>46312.7118055556</v>
      </c>
      <c r="D280" s="30" t="n">
        <v>46312.7409722222</v>
      </c>
      <c r="E280" s="36" t="n">
        <f aca="false">(D280-C280)*24</f>
        <v>0.7</v>
      </c>
      <c r="F280" s="36" t="n">
        <f aca="false">IF((C280-D279)*24&gt;12,"",(C280-D279)*24)</f>
        <v>3.26666666666667</v>
      </c>
    </row>
    <row r="281" customFormat="false" ht="15" hidden="false" customHeight="false" outlineLevel="0" collapsed="false">
      <c r="A281" s="26" t="n">
        <f aca="false">INT(C281-4/24)</f>
        <v>46312</v>
      </c>
      <c r="B281" s="31" t="s">
        <v>93</v>
      </c>
      <c r="C281" s="30" t="n">
        <v>46312.96875</v>
      </c>
      <c r="D281" s="30" t="n">
        <v>46313.0152777778</v>
      </c>
      <c r="E281" s="36" t="n">
        <f aca="false">(D281-C281)*24</f>
        <v>1.11666666666667</v>
      </c>
      <c r="F281" s="36" t="n">
        <f aca="false">IF((C281-D280)*24&gt;12,"",(C281-D280)*24)</f>
        <v>5.46666666666667</v>
      </c>
    </row>
    <row r="282" customFormat="false" ht="15" hidden="false" customHeight="false" outlineLevel="0" collapsed="false">
      <c r="A282" s="32" t="n">
        <f aca="false">INT(C282-4/24)</f>
        <v>46312</v>
      </c>
      <c r="B282" s="33" t="s">
        <v>92</v>
      </c>
      <c r="C282" s="34" t="n">
        <v>46313.0152777778</v>
      </c>
      <c r="D282" s="34" t="n">
        <v>46313.3055555556</v>
      </c>
      <c r="E282" s="35" t="n">
        <f aca="false">(D282-C282)*24</f>
        <v>6.96666666666667</v>
      </c>
      <c r="F282" s="35" t="n">
        <f aca="false">IF((C282-D281)*24&gt;12,"",(C282-D281)*24)</f>
        <v>0</v>
      </c>
    </row>
    <row r="283" customFormat="false" ht="15" hidden="false" customHeight="false" outlineLevel="0" collapsed="false">
      <c r="A283" s="26" t="n">
        <f aca="false">INT(C283-4/24)</f>
        <v>46313</v>
      </c>
      <c r="B283" s="31" t="s">
        <v>93</v>
      </c>
      <c r="C283" s="30" t="n">
        <v>46313.34375</v>
      </c>
      <c r="D283" s="30" t="n">
        <v>46313.3819444445</v>
      </c>
      <c r="E283" s="36" t="n">
        <f aca="false">(D283-C283)*24</f>
        <v>0.916666666666667</v>
      </c>
      <c r="F283" s="36" t="n">
        <f aca="false">IF((C283-D282)*24&gt;12,"",(C283-D282)*24)</f>
        <v>0.916666666666667</v>
      </c>
    </row>
    <row r="284" customFormat="false" ht="15" hidden="false" customHeight="false" outlineLevel="0" collapsed="false">
      <c r="A284" s="26" t="n">
        <f aca="false">INT(C284-4/24)</f>
        <v>46313</v>
      </c>
      <c r="B284" s="31" t="s">
        <v>93</v>
      </c>
      <c r="C284" s="30" t="n">
        <v>46313.5277777778</v>
      </c>
      <c r="D284" s="30" t="n">
        <v>46313.5548611111</v>
      </c>
      <c r="E284" s="36" t="n">
        <f aca="false">(D284-C284)*24</f>
        <v>0.65</v>
      </c>
      <c r="F284" s="36" t="n">
        <f aca="false">IF((C284-D283)*24&gt;12,"",(C284-D283)*24)</f>
        <v>3.5</v>
      </c>
    </row>
    <row r="285" customFormat="false" ht="15" hidden="false" customHeight="false" outlineLevel="0" collapsed="false">
      <c r="A285" s="26" t="n">
        <f aca="false">INT(C285-4/24)</f>
        <v>46313</v>
      </c>
      <c r="B285" s="31" t="s">
        <v>93</v>
      </c>
      <c r="C285" s="30" t="n">
        <v>46313.6354166667</v>
      </c>
      <c r="D285" s="30" t="n">
        <v>46313.6625</v>
      </c>
      <c r="E285" s="36" t="n">
        <f aca="false">(D285-C285)*24</f>
        <v>0.65</v>
      </c>
      <c r="F285" s="36" t="n">
        <f aca="false">IF((C285-D284)*24&gt;12,"",(C285-D284)*24)</f>
        <v>1.93333333333333</v>
      </c>
    </row>
  </sheetData>
  <autoFilter ref="A4:F28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94</v>
      </c>
    </row>
    <row r="3" customFormat="false" ht="15" hidden="false" customHeight="false" outlineLevel="0" collapsed="false">
      <c r="A3" s="31" t="s">
        <v>95</v>
      </c>
    </row>
    <row r="4" customFormat="false" ht="15" hidden="false" customHeight="false" outlineLevel="0" collapsed="false">
      <c r="A4" s="31" t="s">
        <v>96</v>
      </c>
    </row>
    <row r="5" customFormat="false" ht="15" hidden="false" customHeight="false" outlineLevel="0" collapsed="false">
      <c r="A5" s="31" t="s">
        <v>97</v>
      </c>
    </row>
    <row r="6" customFormat="false" ht="15" hidden="false" customHeight="false" outlineLevel="0" collapsed="false">
      <c r="A6" s="31" t="s">
        <v>98</v>
      </c>
    </row>
    <row r="7" customFormat="false" ht="15" hidden="false" customHeight="false" outlineLevel="0" collapsed="false">
      <c r="A7" s="31" t="s">
        <v>99</v>
      </c>
    </row>
    <row r="8" customFormat="false" ht="15" hidden="false" customHeight="false" outlineLevel="0" collapsed="false">
      <c r="A8" s="31" t="s">
        <v>100</v>
      </c>
    </row>
    <row r="9" customFormat="false" ht="15" hidden="false" customHeight="false" outlineLevel="0" collapsed="false">
      <c r="A9" s="31" t="s">
        <v>101</v>
      </c>
    </row>
    <row r="10" customFormat="false" ht="15" hidden="false" customHeight="false" outlineLevel="0" collapsed="false">
      <c r="A10" s="31" t="s">
        <v>102</v>
      </c>
    </row>
    <row r="12" customFormat="false" ht="15" hidden="false" customHeight="false" outlineLevel="0" collapsed="false">
      <c r="A12" s="10" t="s">
        <v>103</v>
      </c>
      <c r="B12" s="10" t="s">
        <v>104</v>
      </c>
      <c r="C12" s="10" t="s">
        <v>105</v>
      </c>
    </row>
    <row r="13" customFormat="false" ht="15" hidden="false" customHeight="false" outlineLevel="0" collapsed="false">
      <c r="A13" s="30" t="n">
        <v>46249.8361111111</v>
      </c>
      <c r="B13" s="31" t="s">
        <v>79</v>
      </c>
      <c r="C13" s="31" t="s">
        <v>106</v>
      </c>
    </row>
    <row r="14" customFormat="false" ht="15" hidden="false" customHeight="false" outlineLevel="0" collapsed="false">
      <c r="A14" s="30" t="n">
        <v>46250.3527777778</v>
      </c>
      <c r="B14" s="31" t="s">
        <v>81</v>
      </c>
      <c r="C14" s="31" t="s">
        <v>107</v>
      </c>
    </row>
    <row r="15" customFormat="false" ht="15" hidden="false" customHeight="false" outlineLevel="0" collapsed="false">
      <c r="A15" s="30" t="n">
        <v>46251.3375</v>
      </c>
      <c r="B15" s="31" t="s">
        <v>79</v>
      </c>
      <c r="C15" s="31" t="s">
        <v>106</v>
      </c>
    </row>
    <row r="16" customFormat="false" ht="15" hidden="false" customHeight="false" outlineLevel="0" collapsed="false">
      <c r="A16" s="30" t="n">
        <v>46253.3236111111</v>
      </c>
      <c r="B16" s="31" t="s">
        <v>79</v>
      </c>
      <c r="C16" s="31" t="s">
        <v>106</v>
      </c>
    </row>
    <row r="17" customFormat="false" ht="15" hidden="false" customHeight="false" outlineLevel="0" collapsed="false">
      <c r="A17" s="30" t="n">
        <v>46254.3263888889</v>
      </c>
      <c r="B17" s="31" t="s">
        <v>79</v>
      </c>
      <c r="C17" s="31" t="s">
        <v>106</v>
      </c>
    </row>
    <row r="18" customFormat="false" ht="15" hidden="false" customHeight="false" outlineLevel="0" collapsed="false">
      <c r="A18" s="30" t="n">
        <v>46257.375</v>
      </c>
      <c r="B18" s="31" t="s">
        <v>79</v>
      </c>
      <c r="C18" s="31" t="s">
        <v>106</v>
      </c>
    </row>
    <row r="19" customFormat="false" ht="15" hidden="false" customHeight="false" outlineLevel="0" collapsed="false">
      <c r="A19" s="30" t="n">
        <v>46257.7270833333</v>
      </c>
      <c r="B19" s="31" t="s">
        <v>80</v>
      </c>
      <c r="C19" s="31" t="s">
        <v>108</v>
      </c>
    </row>
    <row r="20" customFormat="false" ht="15" hidden="false" customHeight="false" outlineLevel="0" collapsed="false">
      <c r="A20" s="30" t="n">
        <v>46265.0208333333</v>
      </c>
      <c r="B20" s="31" t="s">
        <v>20</v>
      </c>
      <c r="C20" s="31" t="s">
        <v>109</v>
      </c>
    </row>
    <row r="21" customFormat="false" ht="15" hidden="false" customHeight="false" outlineLevel="0" collapsed="false">
      <c r="A21" s="30" t="n">
        <v>46267.6638888889</v>
      </c>
      <c r="B21" s="31" t="s">
        <v>81</v>
      </c>
      <c r="C21" s="31" t="s">
        <v>107</v>
      </c>
    </row>
    <row r="22" customFormat="false" ht="15" hidden="false" customHeight="false" outlineLevel="0" collapsed="false">
      <c r="A22" s="30" t="n">
        <v>46268.0416666667</v>
      </c>
      <c r="B22" s="31" t="s">
        <v>20</v>
      </c>
      <c r="C22" s="31" t="s">
        <v>109</v>
      </c>
    </row>
    <row r="23" customFormat="false" ht="15" hidden="false" customHeight="false" outlineLevel="0" collapsed="false">
      <c r="A23" s="30" t="n">
        <v>46270.0416666667</v>
      </c>
      <c r="B23" s="31" t="s">
        <v>81</v>
      </c>
      <c r="C23" s="31" t="s">
        <v>107</v>
      </c>
    </row>
    <row r="24" customFormat="false" ht="15" hidden="false" customHeight="false" outlineLevel="0" collapsed="false">
      <c r="A24" s="30" t="n">
        <v>46284.8472222222</v>
      </c>
      <c r="B24" s="31" t="s">
        <v>80</v>
      </c>
      <c r="C24" s="31" t="s">
        <v>110</v>
      </c>
    </row>
    <row r="25" customFormat="false" ht="15" hidden="false" customHeight="false" outlineLevel="0" collapsed="false">
      <c r="A25" s="30" t="n">
        <v>46288.0131944444</v>
      </c>
      <c r="B25" s="31" t="s">
        <v>20</v>
      </c>
      <c r="C25" s="31" t="s">
        <v>109</v>
      </c>
    </row>
    <row r="26" customFormat="false" ht="15" hidden="false" customHeight="false" outlineLevel="0" collapsed="false">
      <c r="A26" s="30" t="n">
        <v>46289.9930555556</v>
      </c>
      <c r="B26" s="31" t="s">
        <v>81</v>
      </c>
      <c r="C26" s="31" t="s">
        <v>107</v>
      </c>
    </row>
    <row r="27" customFormat="false" ht="15" hidden="false" customHeight="false" outlineLevel="0" collapsed="false">
      <c r="A27" s="30" t="n">
        <v>46293.2638888889</v>
      </c>
      <c r="B27" s="31" t="s">
        <v>79</v>
      </c>
      <c r="C27" s="31" t="s">
        <v>106</v>
      </c>
    </row>
    <row r="28" customFormat="false" ht="15" hidden="false" customHeight="false" outlineLevel="0" collapsed="false">
      <c r="A28" s="30" t="n">
        <v>46293.5402777778</v>
      </c>
      <c r="B28" s="31" t="s">
        <v>20</v>
      </c>
      <c r="C28" s="3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2026-10-18T20:57:30Z</dcterms:created>
  <dc:creator>openpyxl</dc:creator>
  <dc:description/>
  <dc:language>en-US</dc:language>
  <cp:lastModifiedBy/>
  <dcterms:modified xsi:type="dcterms:W3CDTF">2026-10-18T16:57:32Z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